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imelines/timeline1.xml" ContentType="application/vnd.ms-excel.timelin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rsh\OneDrive\שולחן העבודה\תואר שנה ב\"/>
    </mc:Choice>
  </mc:AlternateContent>
  <xr:revisionPtr revIDLastSave="0" documentId="13_ncr:1_{1C6D27AF-A771-4DD9-A464-32FF231BFDC5}" xr6:coauthVersionLast="47" xr6:coauthVersionMax="47" xr10:uidLastSave="{00000000-0000-0000-0000-000000000000}"/>
  <bookViews>
    <workbookView xWindow="22932" yWindow="-108" windowWidth="23256" windowHeight="12456" firstSheet="1" activeTab="1" xr2:uid="{81701080-E02E-4F59-8438-9D9742EB5177}"/>
  </bookViews>
  <sheets>
    <sheet name="ID" sheetId="13" state="hidden" r:id="rId1"/>
    <sheet name="Students" sheetId="1" r:id="rId2"/>
    <sheet name="Tickets" sheetId="2" r:id="rId3"/>
    <sheet name="Filter" sheetId="14" r:id="rId4"/>
    <sheet name="Statistics" sheetId="11" r:id="rId5"/>
    <sheet name="Pivot" sheetId="15" r:id="rId6"/>
    <sheet name="Party" sheetId="6" r:id="rId7"/>
  </sheets>
  <externalReferences>
    <externalReference r:id="rId8"/>
  </externalReferences>
  <definedNames>
    <definedName name="_Fill" localSheetId="6" hidden="1">#REF!</definedName>
    <definedName name="_Fill" hidden="1">#REF!</definedName>
    <definedName name="_Key1" localSheetId="0" hidden="1">#REF!</definedName>
    <definedName name="_Key1" hidden="1">#REF!</definedName>
    <definedName name="_Order1" hidden="1">0</definedName>
    <definedName name="_Sort" localSheetId="0" hidden="1">#REF!</definedName>
    <definedName name="_Sort" hidden="1">#REF!</definedName>
    <definedName name="anscount" hidden="1">3</definedName>
    <definedName name="ID_NUM">ID!$B$3</definedName>
    <definedName name="limcount" hidden="1">2</definedName>
    <definedName name="NativeTimeline_תאריך_תחילת_לימודים">#N/A</definedName>
    <definedName name="sencount" hidden="1">1</definedName>
    <definedName name="test" localSheetId="0" hidden="1">'[1]דו"ח'!#REF!</definedName>
    <definedName name="test" hidden="1">'[1]דו"ח'!#REF!</definedName>
    <definedName name="ישובים">Students!$E$3:$E$111</definedName>
    <definedName name="כרטיס">Students!$G$3:$G$111</definedName>
    <definedName name="מכללה">Students!$F$3:$F$111</definedName>
    <definedName name="נתוניםסטודנטי">Students!$A$2:$R$111</definedName>
    <definedName name="סטודנטים">Students!$A$3:$R$111</definedName>
  </definedNames>
  <calcPr calcId="191029" concurrentCalc="0"/>
  <pivotCaches>
    <pivotCache cacheId="9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39" i="1" l="1"/>
  <c r="F6" i="6"/>
  <c r="F7" i="6"/>
  <c r="F10" i="6"/>
  <c r="F13" i="6"/>
  <c r="F15" i="6"/>
  <c r="E23" i="6"/>
  <c r="L3" i="6"/>
  <c r="J3" i="6"/>
  <c r="K3" i="6"/>
  <c r="F21" i="15"/>
  <c r="D7" i="11"/>
  <c r="E7" i="11"/>
  <c r="F7" i="11"/>
  <c r="G7" i="11"/>
  <c r="D8" i="11"/>
  <c r="E8" i="11"/>
  <c r="F8" i="11"/>
  <c r="G8" i="11"/>
  <c r="D9" i="11"/>
  <c r="E9" i="11"/>
  <c r="F9" i="11"/>
  <c r="G9" i="11"/>
  <c r="D10" i="11"/>
  <c r="E10" i="11"/>
  <c r="F10" i="11"/>
  <c r="G10" i="11"/>
  <c r="D11" i="11"/>
  <c r="E11" i="11"/>
  <c r="F11" i="11"/>
  <c r="G11" i="11"/>
  <c r="D12" i="11"/>
  <c r="E12" i="11"/>
  <c r="F12" i="11"/>
  <c r="G12" i="11"/>
  <c r="D13" i="11"/>
  <c r="E13" i="11"/>
  <c r="F13" i="11"/>
  <c r="G13" i="11"/>
  <c r="D14" i="11"/>
  <c r="E14" i="11"/>
  <c r="F14" i="11"/>
  <c r="G14" i="11"/>
  <c r="E6" i="11"/>
  <c r="F6" i="11"/>
  <c r="G6" i="11"/>
  <c r="D6" i="11"/>
  <c r="B8" i="11" a="1"/>
  <c r="B8" i="11"/>
  <c r="S3" i="1"/>
  <c r="M3" i="1"/>
  <c r="U3" i="1"/>
  <c r="T3" i="1"/>
  <c r="R3" i="1" a="1"/>
  <c r="R3" i="1"/>
  <c r="S10" i="1"/>
  <c r="M10" i="1"/>
  <c r="S4" i="1"/>
  <c r="M4" i="1"/>
  <c r="U4" i="1"/>
  <c r="T4" i="1"/>
  <c r="R4" i="1" a="1"/>
  <c r="S5" i="1"/>
  <c r="M5" i="1"/>
  <c r="U5" i="1"/>
  <c r="T5" i="1"/>
  <c r="R5" i="1" a="1"/>
  <c r="S6" i="1"/>
  <c r="M6" i="1"/>
  <c r="U6" i="1"/>
  <c r="T6" i="1"/>
  <c r="R6" i="1" a="1"/>
  <c r="S7" i="1"/>
  <c r="M7" i="1"/>
  <c r="U7" i="1"/>
  <c r="T7" i="1"/>
  <c r="R7" i="1" a="1"/>
  <c r="S8" i="1"/>
  <c r="M8" i="1"/>
  <c r="U8" i="1"/>
  <c r="T8" i="1"/>
  <c r="R8" i="1" a="1"/>
  <c r="S9" i="1"/>
  <c r="M9" i="1"/>
  <c r="U9" i="1"/>
  <c r="T9" i="1"/>
  <c r="R9" i="1" a="1"/>
  <c r="U10" i="1"/>
  <c r="T10" i="1"/>
  <c r="R10" i="1" a="1"/>
  <c r="S11" i="1"/>
  <c r="M11" i="1"/>
  <c r="U11" i="1"/>
  <c r="T11" i="1"/>
  <c r="R11" i="1" a="1"/>
  <c r="S12" i="1"/>
  <c r="M12" i="1"/>
  <c r="U12" i="1"/>
  <c r="T12" i="1"/>
  <c r="R12" i="1" a="1"/>
  <c r="S13" i="1"/>
  <c r="M13" i="1"/>
  <c r="U13" i="1"/>
  <c r="T13" i="1"/>
  <c r="R13" i="1" a="1"/>
  <c r="S14" i="1"/>
  <c r="M14" i="1"/>
  <c r="U14" i="1"/>
  <c r="T14" i="1"/>
  <c r="R14" i="1" a="1"/>
  <c r="S15" i="1"/>
  <c r="M15" i="1"/>
  <c r="U15" i="1"/>
  <c r="T15" i="1"/>
  <c r="R15" i="1" a="1"/>
  <c r="S16" i="1"/>
  <c r="M16" i="1"/>
  <c r="U16" i="1"/>
  <c r="T16" i="1"/>
  <c r="R16" i="1" a="1"/>
  <c r="S17" i="1"/>
  <c r="M17" i="1"/>
  <c r="U17" i="1"/>
  <c r="T17" i="1"/>
  <c r="R17" i="1" a="1"/>
  <c r="S18" i="1"/>
  <c r="M18" i="1"/>
  <c r="U18" i="1"/>
  <c r="T18" i="1"/>
  <c r="R18" i="1" a="1"/>
  <c r="S19" i="1"/>
  <c r="M19" i="1"/>
  <c r="U19" i="1"/>
  <c r="T19" i="1"/>
  <c r="R19" i="1" a="1"/>
  <c r="S20" i="1"/>
  <c r="M20" i="1"/>
  <c r="U20" i="1"/>
  <c r="T20" i="1"/>
  <c r="R20" i="1" a="1"/>
  <c r="S21" i="1"/>
  <c r="M21" i="1"/>
  <c r="U21" i="1"/>
  <c r="T21" i="1"/>
  <c r="R21" i="1" a="1"/>
  <c r="S22" i="1"/>
  <c r="M22" i="1"/>
  <c r="U22" i="1"/>
  <c r="T22" i="1"/>
  <c r="R22" i="1" a="1"/>
  <c r="S23" i="1"/>
  <c r="M23" i="1"/>
  <c r="U23" i="1"/>
  <c r="T23" i="1"/>
  <c r="R23" i="1" a="1"/>
  <c r="S24" i="1"/>
  <c r="M24" i="1"/>
  <c r="U24" i="1"/>
  <c r="T24" i="1"/>
  <c r="R24" i="1" a="1"/>
  <c r="S25" i="1"/>
  <c r="M25" i="1"/>
  <c r="U25" i="1"/>
  <c r="T25" i="1"/>
  <c r="R25" i="1" a="1"/>
  <c r="S26" i="1"/>
  <c r="M26" i="1"/>
  <c r="U26" i="1"/>
  <c r="T26" i="1"/>
  <c r="R26" i="1" a="1"/>
  <c r="S27" i="1"/>
  <c r="M27" i="1"/>
  <c r="U27" i="1"/>
  <c r="T27" i="1"/>
  <c r="R27" i="1" a="1"/>
  <c r="S28" i="1"/>
  <c r="M28" i="1"/>
  <c r="U28" i="1"/>
  <c r="T28" i="1"/>
  <c r="R28" i="1" a="1"/>
  <c r="S29" i="1"/>
  <c r="M29" i="1"/>
  <c r="U29" i="1"/>
  <c r="T29" i="1"/>
  <c r="R29" i="1" a="1"/>
  <c r="S30" i="1"/>
  <c r="M30" i="1"/>
  <c r="U30" i="1"/>
  <c r="T30" i="1"/>
  <c r="R30" i="1" a="1"/>
  <c r="S31" i="1"/>
  <c r="M31" i="1"/>
  <c r="U31" i="1"/>
  <c r="T31" i="1"/>
  <c r="R31" i="1" a="1"/>
  <c r="S32" i="1"/>
  <c r="M32" i="1"/>
  <c r="U32" i="1"/>
  <c r="T32" i="1"/>
  <c r="R32" i="1" a="1"/>
  <c r="S33" i="1"/>
  <c r="M33" i="1"/>
  <c r="U33" i="1"/>
  <c r="T33" i="1"/>
  <c r="R33" i="1" a="1"/>
  <c r="S34" i="1"/>
  <c r="M34" i="1"/>
  <c r="U34" i="1"/>
  <c r="T34" i="1"/>
  <c r="R34" i="1" a="1"/>
  <c r="S35" i="1"/>
  <c r="M35" i="1"/>
  <c r="U35" i="1"/>
  <c r="T35" i="1"/>
  <c r="R35" i="1" a="1"/>
  <c r="S36" i="1"/>
  <c r="M36" i="1"/>
  <c r="U36" i="1"/>
  <c r="T36" i="1"/>
  <c r="R36" i="1" a="1"/>
  <c r="S37" i="1"/>
  <c r="M37" i="1"/>
  <c r="U37" i="1"/>
  <c r="T37" i="1"/>
  <c r="R37" i="1" a="1"/>
  <c r="S38" i="1"/>
  <c r="M38" i="1"/>
  <c r="U38" i="1"/>
  <c r="T38" i="1"/>
  <c r="R38" i="1" a="1"/>
  <c r="S39" i="1"/>
  <c r="M39" i="1"/>
  <c r="U39" i="1"/>
  <c r="T39" i="1"/>
  <c r="R39" i="1" a="1"/>
  <c r="S40" i="1"/>
  <c r="M40" i="1"/>
  <c r="U40" i="1"/>
  <c r="T40" i="1"/>
  <c r="R40" i="1" a="1"/>
  <c r="S41" i="1"/>
  <c r="M41" i="1"/>
  <c r="U41" i="1"/>
  <c r="T41" i="1"/>
  <c r="R41" i="1" a="1"/>
  <c r="S42" i="1"/>
  <c r="M42" i="1"/>
  <c r="U42" i="1"/>
  <c r="T42" i="1"/>
  <c r="R42" i="1" a="1"/>
  <c r="S43" i="1"/>
  <c r="M43" i="1"/>
  <c r="U43" i="1"/>
  <c r="T43" i="1"/>
  <c r="R43" i="1" a="1"/>
  <c r="S44" i="1"/>
  <c r="M44" i="1"/>
  <c r="U44" i="1"/>
  <c r="T44" i="1"/>
  <c r="R44" i="1" a="1"/>
  <c r="S45" i="1"/>
  <c r="M45" i="1"/>
  <c r="U45" i="1"/>
  <c r="T45" i="1"/>
  <c r="R45" i="1" a="1"/>
  <c r="S46" i="1"/>
  <c r="M46" i="1"/>
  <c r="U46" i="1"/>
  <c r="T46" i="1"/>
  <c r="R46" i="1" a="1"/>
  <c r="S47" i="1"/>
  <c r="M47" i="1"/>
  <c r="U47" i="1"/>
  <c r="T47" i="1"/>
  <c r="R47" i="1" a="1"/>
  <c r="S48" i="1"/>
  <c r="M48" i="1"/>
  <c r="U48" i="1"/>
  <c r="T48" i="1"/>
  <c r="R48" i="1" a="1"/>
  <c r="S49" i="1"/>
  <c r="M49" i="1"/>
  <c r="U49" i="1"/>
  <c r="T49" i="1"/>
  <c r="R49" i="1" a="1"/>
  <c r="S50" i="1"/>
  <c r="M50" i="1"/>
  <c r="U50" i="1"/>
  <c r="T50" i="1"/>
  <c r="R50" i="1" a="1"/>
  <c r="S51" i="1"/>
  <c r="M51" i="1"/>
  <c r="U51" i="1"/>
  <c r="T51" i="1"/>
  <c r="R51" i="1" a="1"/>
  <c r="S52" i="1"/>
  <c r="M52" i="1"/>
  <c r="U52" i="1"/>
  <c r="T52" i="1"/>
  <c r="R52" i="1" a="1"/>
  <c r="S53" i="1"/>
  <c r="M53" i="1"/>
  <c r="U53" i="1"/>
  <c r="T53" i="1"/>
  <c r="R53" i="1" a="1"/>
  <c r="S54" i="1"/>
  <c r="M54" i="1"/>
  <c r="U54" i="1"/>
  <c r="T54" i="1"/>
  <c r="R54" i="1" a="1"/>
  <c r="S55" i="1"/>
  <c r="M55" i="1"/>
  <c r="U55" i="1"/>
  <c r="T55" i="1"/>
  <c r="R55" i="1" a="1"/>
  <c r="S56" i="1"/>
  <c r="M56" i="1"/>
  <c r="U56" i="1"/>
  <c r="T56" i="1"/>
  <c r="R56" i="1" a="1"/>
  <c r="S57" i="1"/>
  <c r="M57" i="1"/>
  <c r="U57" i="1"/>
  <c r="T57" i="1"/>
  <c r="R57" i="1" a="1"/>
  <c r="S58" i="1"/>
  <c r="M58" i="1"/>
  <c r="U58" i="1"/>
  <c r="T58" i="1"/>
  <c r="R58" i="1" a="1"/>
  <c r="S59" i="1"/>
  <c r="M59" i="1"/>
  <c r="U59" i="1"/>
  <c r="T59" i="1"/>
  <c r="R59" i="1" a="1"/>
  <c r="S60" i="1"/>
  <c r="M60" i="1"/>
  <c r="U60" i="1"/>
  <c r="T60" i="1"/>
  <c r="R60" i="1" a="1"/>
  <c r="S61" i="1"/>
  <c r="M61" i="1"/>
  <c r="U61" i="1"/>
  <c r="T61" i="1"/>
  <c r="R61" i="1" a="1"/>
  <c r="S62" i="1"/>
  <c r="M62" i="1"/>
  <c r="U62" i="1"/>
  <c r="T62" i="1"/>
  <c r="R62" i="1" a="1"/>
  <c r="S63" i="1"/>
  <c r="M63" i="1"/>
  <c r="U63" i="1"/>
  <c r="T63" i="1"/>
  <c r="R63" i="1" a="1"/>
  <c r="S64" i="1"/>
  <c r="M64" i="1"/>
  <c r="U64" i="1"/>
  <c r="T64" i="1"/>
  <c r="R64" i="1" a="1"/>
  <c r="S65" i="1"/>
  <c r="M65" i="1"/>
  <c r="U65" i="1"/>
  <c r="T65" i="1"/>
  <c r="R65" i="1" a="1"/>
  <c r="S66" i="1"/>
  <c r="M66" i="1"/>
  <c r="U66" i="1"/>
  <c r="T66" i="1"/>
  <c r="R66" i="1" a="1"/>
  <c r="S67" i="1"/>
  <c r="M67" i="1"/>
  <c r="U67" i="1"/>
  <c r="T67" i="1"/>
  <c r="R67" i="1" a="1"/>
  <c r="S68" i="1"/>
  <c r="M68" i="1"/>
  <c r="U68" i="1"/>
  <c r="T68" i="1"/>
  <c r="R68" i="1" a="1"/>
  <c r="S69" i="1"/>
  <c r="M69" i="1"/>
  <c r="U69" i="1"/>
  <c r="T69" i="1"/>
  <c r="R69" i="1" a="1"/>
  <c r="S70" i="1"/>
  <c r="M70" i="1"/>
  <c r="U70" i="1"/>
  <c r="T70" i="1"/>
  <c r="R70" i="1" a="1"/>
  <c r="S71" i="1"/>
  <c r="M71" i="1"/>
  <c r="U71" i="1"/>
  <c r="T71" i="1"/>
  <c r="R71" i="1" a="1"/>
  <c r="S72" i="1"/>
  <c r="M72" i="1"/>
  <c r="U72" i="1"/>
  <c r="T72" i="1"/>
  <c r="R72" i="1" a="1"/>
  <c r="S73" i="1"/>
  <c r="M73" i="1"/>
  <c r="U73" i="1"/>
  <c r="T73" i="1"/>
  <c r="R73" i="1" a="1"/>
  <c r="S74" i="1"/>
  <c r="M74" i="1"/>
  <c r="U74" i="1"/>
  <c r="T74" i="1"/>
  <c r="R74" i="1" a="1"/>
  <c r="S75" i="1"/>
  <c r="M75" i="1"/>
  <c r="U75" i="1"/>
  <c r="T75" i="1"/>
  <c r="R75" i="1" a="1"/>
  <c r="S76" i="1"/>
  <c r="M76" i="1"/>
  <c r="U76" i="1"/>
  <c r="T76" i="1"/>
  <c r="R76" i="1" a="1"/>
  <c r="S77" i="1"/>
  <c r="M77" i="1"/>
  <c r="U77" i="1"/>
  <c r="T77" i="1"/>
  <c r="R77" i="1" a="1"/>
  <c r="S78" i="1"/>
  <c r="M78" i="1"/>
  <c r="U78" i="1"/>
  <c r="T78" i="1"/>
  <c r="R78" i="1" a="1"/>
  <c r="S79" i="1"/>
  <c r="M79" i="1"/>
  <c r="U79" i="1"/>
  <c r="T79" i="1"/>
  <c r="R79" i="1" a="1"/>
  <c r="S80" i="1"/>
  <c r="M80" i="1"/>
  <c r="U80" i="1"/>
  <c r="T80" i="1"/>
  <c r="R80" i="1" a="1"/>
  <c r="S81" i="1"/>
  <c r="M81" i="1"/>
  <c r="U81" i="1"/>
  <c r="T81" i="1"/>
  <c r="R81" i="1" a="1"/>
  <c r="S82" i="1"/>
  <c r="M82" i="1"/>
  <c r="U82" i="1"/>
  <c r="T82" i="1"/>
  <c r="R82" i="1" a="1"/>
  <c r="S83" i="1"/>
  <c r="M83" i="1"/>
  <c r="U83" i="1"/>
  <c r="T83" i="1"/>
  <c r="R83" i="1" a="1"/>
  <c r="S84" i="1"/>
  <c r="M84" i="1"/>
  <c r="U84" i="1"/>
  <c r="T84" i="1"/>
  <c r="R84" i="1" a="1"/>
  <c r="S85" i="1"/>
  <c r="M85" i="1"/>
  <c r="U85" i="1"/>
  <c r="T85" i="1"/>
  <c r="R85" i="1" a="1"/>
  <c r="S86" i="1"/>
  <c r="M86" i="1"/>
  <c r="U86" i="1"/>
  <c r="T86" i="1"/>
  <c r="R86" i="1" a="1"/>
  <c r="S87" i="1"/>
  <c r="M87" i="1"/>
  <c r="U87" i="1"/>
  <c r="T87" i="1"/>
  <c r="R87" i="1" a="1"/>
  <c r="S88" i="1"/>
  <c r="M88" i="1"/>
  <c r="U88" i="1"/>
  <c r="T88" i="1"/>
  <c r="R88" i="1" a="1"/>
  <c r="S89" i="1"/>
  <c r="M89" i="1"/>
  <c r="U89" i="1"/>
  <c r="T89" i="1"/>
  <c r="R89" i="1" a="1"/>
  <c r="S90" i="1"/>
  <c r="M90" i="1"/>
  <c r="U90" i="1"/>
  <c r="T90" i="1"/>
  <c r="R90" i="1" a="1"/>
  <c r="S91" i="1"/>
  <c r="M91" i="1"/>
  <c r="U91" i="1"/>
  <c r="T91" i="1"/>
  <c r="R91" i="1" a="1"/>
  <c r="S92" i="1"/>
  <c r="M92" i="1"/>
  <c r="U92" i="1"/>
  <c r="T92" i="1"/>
  <c r="R92" i="1" a="1"/>
  <c r="S93" i="1"/>
  <c r="M93" i="1"/>
  <c r="U93" i="1"/>
  <c r="T93" i="1"/>
  <c r="R93" i="1" a="1"/>
  <c r="S94" i="1"/>
  <c r="M94" i="1"/>
  <c r="U94" i="1"/>
  <c r="T94" i="1"/>
  <c r="R94" i="1" a="1"/>
  <c r="S95" i="1"/>
  <c r="M95" i="1"/>
  <c r="U95" i="1"/>
  <c r="T95" i="1"/>
  <c r="R95" i="1" a="1"/>
  <c r="S96" i="1"/>
  <c r="M96" i="1"/>
  <c r="U96" i="1"/>
  <c r="T96" i="1"/>
  <c r="R96" i="1" a="1"/>
  <c r="S97" i="1"/>
  <c r="M97" i="1"/>
  <c r="U97" i="1"/>
  <c r="T97" i="1"/>
  <c r="R97" i="1" a="1"/>
  <c r="S98" i="1"/>
  <c r="M98" i="1"/>
  <c r="U98" i="1"/>
  <c r="T98" i="1"/>
  <c r="R98" i="1" a="1"/>
  <c r="S99" i="1"/>
  <c r="M99" i="1"/>
  <c r="U99" i="1"/>
  <c r="T99" i="1"/>
  <c r="R99" i="1" a="1"/>
  <c r="S100" i="1"/>
  <c r="M100" i="1"/>
  <c r="U100" i="1"/>
  <c r="T100" i="1"/>
  <c r="R100" i="1" a="1"/>
  <c r="S101" i="1"/>
  <c r="M101" i="1"/>
  <c r="U101" i="1"/>
  <c r="T101" i="1"/>
  <c r="R101" i="1" a="1"/>
  <c r="S102" i="1"/>
  <c r="M102" i="1"/>
  <c r="U102" i="1"/>
  <c r="T102" i="1"/>
  <c r="R102" i="1" a="1"/>
  <c r="S103" i="1"/>
  <c r="M103" i="1"/>
  <c r="U103" i="1"/>
  <c r="T103" i="1"/>
  <c r="R103" i="1" a="1"/>
  <c r="S104" i="1"/>
  <c r="M104" i="1"/>
  <c r="U104" i="1"/>
  <c r="T104" i="1"/>
  <c r="R104" i="1" a="1"/>
  <c r="S105" i="1"/>
  <c r="M105" i="1"/>
  <c r="U105" i="1"/>
  <c r="T105" i="1"/>
  <c r="R105" i="1" a="1"/>
  <c r="S106" i="1"/>
  <c r="M106" i="1"/>
  <c r="U106" i="1"/>
  <c r="T106" i="1"/>
  <c r="R106" i="1" a="1"/>
  <c r="S107" i="1"/>
  <c r="M107" i="1"/>
  <c r="U107" i="1"/>
  <c r="T107" i="1"/>
  <c r="R107" i="1" a="1"/>
  <c r="S108" i="1"/>
  <c r="M108" i="1"/>
  <c r="U108" i="1"/>
  <c r="T108" i="1"/>
  <c r="R108" i="1" a="1"/>
  <c r="S109" i="1"/>
  <c r="M109" i="1"/>
  <c r="U109" i="1"/>
  <c r="T109" i="1"/>
  <c r="R109" i="1" a="1"/>
  <c r="S110" i="1"/>
  <c r="M110" i="1"/>
  <c r="U110" i="1"/>
  <c r="T110" i="1"/>
  <c r="R110" i="1" a="1"/>
  <c r="S111" i="1"/>
  <c r="M111" i="1"/>
  <c r="U111" i="1"/>
  <c r="T111" i="1"/>
  <c r="R111" i="1" a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E15" i="14" a="1"/>
  <c r="E15" i="14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Q3" i="1"/>
  <c r="P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3" i="1"/>
  <c r="N4" i="1" a="1"/>
  <c r="N4" i="1"/>
  <c r="N5" i="1" a="1"/>
  <c r="N5" i="1"/>
  <c r="N6" i="1" a="1"/>
  <c r="N6" i="1"/>
  <c r="N7" i="1" a="1"/>
  <c r="N7" i="1"/>
  <c r="N8" i="1" a="1"/>
  <c r="N8" i="1"/>
  <c r="N9" i="1" a="1"/>
  <c r="N9" i="1"/>
  <c r="N10" i="1" a="1"/>
  <c r="N10" i="1"/>
  <c r="N11" i="1" a="1"/>
  <c r="N11" i="1"/>
  <c r="N12" i="1" a="1"/>
  <c r="N12" i="1"/>
  <c r="N13" i="1" a="1"/>
  <c r="N13" i="1"/>
  <c r="N14" i="1" a="1"/>
  <c r="N14" i="1"/>
  <c r="N15" i="1" a="1"/>
  <c r="N15" i="1"/>
  <c r="N16" i="1" a="1"/>
  <c r="N16" i="1"/>
  <c r="N17" i="1" a="1"/>
  <c r="N17" i="1"/>
  <c r="N18" i="1" a="1"/>
  <c r="N18" i="1"/>
  <c r="N19" i="1" a="1"/>
  <c r="N19" i="1"/>
  <c r="N20" i="1" a="1"/>
  <c r="N20" i="1"/>
  <c r="N21" i="1" a="1"/>
  <c r="N21" i="1"/>
  <c r="N22" i="1" a="1"/>
  <c r="N22" i="1"/>
  <c r="N23" i="1" a="1"/>
  <c r="N23" i="1"/>
  <c r="N24" i="1" a="1"/>
  <c r="N24" i="1"/>
  <c r="N25" i="1" a="1"/>
  <c r="N25" i="1"/>
  <c r="N26" i="1" a="1"/>
  <c r="N26" i="1"/>
  <c r="N27" i="1" a="1"/>
  <c r="N27" i="1"/>
  <c r="N28" i="1" a="1"/>
  <c r="N28" i="1"/>
  <c r="N29" i="1" a="1"/>
  <c r="N29" i="1"/>
  <c r="N30" i="1" a="1"/>
  <c r="N30" i="1"/>
  <c r="N31" i="1" a="1"/>
  <c r="N31" i="1"/>
  <c r="N32" i="1" a="1"/>
  <c r="N32" i="1"/>
  <c r="N33" i="1" a="1"/>
  <c r="N33" i="1"/>
  <c r="N34" i="1" a="1"/>
  <c r="N34" i="1"/>
  <c r="N35" i="1" a="1"/>
  <c r="N35" i="1"/>
  <c r="N36" i="1" a="1"/>
  <c r="N36" i="1"/>
  <c r="N37" i="1" a="1"/>
  <c r="N37" i="1"/>
  <c r="N38" i="1" a="1"/>
  <c r="N38" i="1"/>
  <c r="N39" i="1" a="1"/>
  <c r="N39" i="1"/>
  <c r="N40" i="1" a="1"/>
  <c r="N40" i="1"/>
  <c r="N41" i="1" a="1"/>
  <c r="N41" i="1"/>
  <c r="N42" i="1" a="1"/>
  <c r="N42" i="1"/>
  <c r="N43" i="1" a="1"/>
  <c r="N43" i="1"/>
  <c r="N44" i="1" a="1"/>
  <c r="N44" i="1"/>
  <c r="N45" i="1" a="1"/>
  <c r="N45" i="1"/>
  <c r="N46" i="1" a="1"/>
  <c r="N46" i="1"/>
  <c r="N47" i="1" a="1"/>
  <c r="N47" i="1"/>
  <c r="N48" i="1" a="1"/>
  <c r="N48" i="1"/>
  <c r="N49" i="1" a="1"/>
  <c r="N49" i="1"/>
  <c r="N50" i="1" a="1"/>
  <c r="N50" i="1"/>
  <c r="N51" i="1" a="1"/>
  <c r="N51" i="1"/>
  <c r="N52" i="1" a="1"/>
  <c r="N52" i="1"/>
  <c r="N53" i="1" a="1"/>
  <c r="N53" i="1"/>
  <c r="N54" i="1" a="1"/>
  <c r="N54" i="1"/>
  <c r="N55" i="1" a="1"/>
  <c r="N55" i="1"/>
  <c r="N56" i="1" a="1"/>
  <c r="N56" i="1"/>
  <c r="N57" i="1" a="1"/>
  <c r="N57" i="1"/>
  <c r="N58" i="1" a="1"/>
  <c r="N58" i="1"/>
  <c r="N59" i="1" a="1"/>
  <c r="N59" i="1"/>
  <c r="N60" i="1" a="1"/>
  <c r="N60" i="1"/>
  <c r="N61" i="1" a="1"/>
  <c r="N61" i="1"/>
  <c r="N62" i="1" a="1"/>
  <c r="N62" i="1"/>
  <c r="N63" i="1" a="1"/>
  <c r="N63" i="1"/>
  <c r="N64" i="1" a="1"/>
  <c r="N64" i="1"/>
  <c r="N65" i="1" a="1"/>
  <c r="N65" i="1"/>
  <c r="N66" i="1" a="1"/>
  <c r="N66" i="1"/>
  <c r="N67" i="1" a="1"/>
  <c r="N67" i="1"/>
  <c r="N68" i="1" a="1"/>
  <c r="N68" i="1"/>
  <c r="N69" i="1" a="1"/>
  <c r="N69" i="1"/>
  <c r="N70" i="1" a="1"/>
  <c r="N70" i="1"/>
  <c r="N71" i="1" a="1"/>
  <c r="N71" i="1"/>
  <c r="N72" i="1" a="1"/>
  <c r="N72" i="1"/>
  <c r="N73" i="1" a="1"/>
  <c r="N73" i="1"/>
  <c r="N74" i="1" a="1"/>
  <c r="N74" i="1"/>
  <c r="N75" i="1" a="1"/>
  <c r="N75" i="1"/>
  <c r="N76" i="1" a="1"/>
  <c r="N76" i="1"/>
  <c r="N77" i="1" a="1"/>
  <c r="N77" i="1"/>
  <c r="N78" i="1" a="1"/>
  <c r="N78" i="1"/>
  <c r="N79" i="1" a="1"/>
  <c r="N79" i="1"/>
  <c r="N80" i="1" a="1"/>
  <c r="N80" i="1"/>
  <c r="N81" i="1" a="1"/>
  <c r="N81" i="1"/>
  <c r="N82" i="1" a="1"/>
  <c r="N82" i="1"/>
  <c r="N83" i="1" a="1"/>
  <c r="N83" i="1"/>
  <c r="N84" i="1" a="1"/>
  <c r="N84" i="1"/>
  <c r="N85" i="1" a="1"/>
  <c r="N85" i="1"/>
  <c r="N86" i="1" a="1"/>
  <c r="N86" i="1"/>
  <c r="N87" i="1" a="1"/>
  <c r="N87" i="1"/>
  <c r="N88" i="1" a="1"/>
  <c r="N88" i="1"/>
  <c r="N89" i="1" a="1"/>
  <c r="N89" i="1"/>
  <c r="N90" i="1" a="1"/>
  <c r="N90" i="1"/>
  <c r="N91" i="1" a="1"/>
  <c r="N91" i="1"/>
  <c r="N92" i="1" a="1"/>
  <c r="N92" i="1"/>
  <c r="N93" i="1" a="1"/>
  <c r="N93" i="1"/>
  <c r="N94" i="1" a="1"/>
  <c r="N94" i="1"/>
  <c r="N95" i="1" a="1"/>
  <c r="N95" i="1"/>
  <c r="N96" i="1" a="1"/>
  <c r="N96" i="1"/>
  <c r="N97" i="1" a="1"/>
  <c r="N97" i="1"/>
  <c r="N98" i="1" a="1"/>
  <c r="N98" i="1"/>
  <c r="N99" i="1" a="1"/>
  <c r="N99" i="1"/>
  <c r="N100" i="1" a="1"/>
  <c r="N100" i="1"/>
  <c r="N101" i="1" a="1"/>
  <c r="N101" i="1"/>
  <c r="N102" i="1" a="1"/>
  <c r="N102" i="1"/>
  <c r="N103" i="1" a="1"/>
  <c r="N103" i="1"/>
  <c r="N104" i="1" a="1"/>
  <c r="N104" i="1"/>
  <c r="N105" i="1" a="1"/>
  <c r="N105" i="1"/>
  <c r="N106" i="1" a="1"/>
  <c r="N106" i="1"/>
  <c r="N107" i="1" a="1"/>
  <c r="N107" i="1"/>
  <c r="N108" i="1" a="1"/>
  <c r="N108" i="1"/>
  <c r="N109" i="1" a="1"/>
  <c r="N109" i="1"/>
  <c r="N110" i="1" a="1"/>
  <c r="N110" i="1"/>
  <c r="N111" i="1" a="1"/>
  <c r="N111" i="1"/>
  <c r="N3" i="1" a="1"/>
  <c r="N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3" i="1"/>
  <c r="B1" i="15"/>
  <c r="B1" i="14"/>
  <c r="B1" i="6"/>
  <c r="B1" i="11"/>
  <c r="B1" i="2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3" authorId="0" shapeId="0" xr:uid="{0E14AEE2-7618-4B7B-BCEA-DB57D92B937C}">
      <text>
        <r>
          <rPr>
            <b/>
            <sz val="12"/>
            <color indexed="81"/>
            <rFont val="Tahoma"/>
            <family val="2"/>
          </rPr>
          <t xml:space="preserve">יש להקליד מספר תעודת זהות כאן וללחוץ על כפתור </t>
        </r>
        <r>
          <rPr>
            <b/>
            <i/>
            <sz val="16"/>
            <color indexed="81"/>
            <rFont val="Tahoma"/>
            <family val="2"/>
          </rPr>
          <t>שגר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<sst xmlns="http://schemas.openxmlformats.org/spreadsheetml/2006/main" count="703" uniqueCount="266">
  <si>
    <t>מס. סטודנט</t>
  </si>
  <si>
    <t>שם משפחה</t>
  </si>
  <si>
    <t>שם פרטי</t>
  </si>
  <si>
    <t>מכללה</t>
  </si>
  <si>
    <t>לוי</t>
  </si>
  <si>
    <t>יצהר</t>
  </si>
  <si>
    <t>ברמן</t>
  </si>
  <si>
    <t>לב</t>
  </si>
  <si>
    <t>שמש</t>
  </si>
  <si>
    <t>הרמן</t>
  </si>
  <si>
    <t>שולמן</t>
  </si>
  <si>
    <t>כהן</t>
  </si>
  <si>
    <t>גרוס</t>
  </si>
  <si>
    <t>יהל</t>
  </si>
  <si>
    <t>סגל</t>
  </si>
  <si>
    <t>זהבי</t>
  </si>
  <si>
    <t>כנען</t>
  </si>
  <si>
    <t>קדם</t>
  </si>
  <si>
    <t>פלג</t>
  </si>
  <si>
    <t>גרשון</t>
  </si>
  <si>
    <t>ברכה</t>
  </si>
  <si>
    <t>אבירם</t>
  </si>
  <si>
    <t>ברקאי</t>
  </si>
  <si>
    <t>פיק</t>
  </si>
  <si>
    <t>קדוש</t>
  </si>
  <si>
    <t>חרמון</t>
  </si>
  <si>
    <t>פיורסקי</t>
  </si>
  <si>
    <t>פרידמן</t>
  </si>
  <si>
    <t>מורן</t>
  </si>
  <si>
    <t>גבעעוני</t>
  </si>
  <si>
    <t>פז</t>
  </si>
  <si>
    <t>לביא</t>
  </si>
  <si>
    <t>חרמוני</t>
  </si>
  <si>
    <t>צוק</t>
  </si>
  <si>
    <t>חדיף</t>
  </si>
  <si>
    <t>אלוני</t>
  </si>
  <si>
    <t>גביש</t>
  </si>
  <si>
    <t>סדובסקי</t>
  </si>
  <si>
    <t>לבנון</t>
  </si>
  <si>
    <t>דשא</t>
  </si>
  <si>
    <t>נעים</t>
  </si>
  <si>
    <t>חרסונסקי</t>
  </si>
  <si>
    <t>ששון</t>
  </si>
  <si>
    <t>דוידוביץ</t>
  </si>
  <si>
    <t>כסיף</t>
  </si>
  <si>
    <t>גמליאל</t>
  </si>
  <si>
    <t>קוריאט</t>
  </si>
  <si>
    <t>ביטון</t>
  </si>
  <si>
    <t>ירדן</t>
  </si>
  <si>
    <t>צורן</t>
  </si>
  <si>
    <t>רם</t>
  </si>
  <si>
    <t>רהב</t>
  </si>
  <si>
    <t>שמעוני</t>
  </si>
  <si>
    <t>ברוך</t>
  </si>
  <si>
    <t>לוריא</t>
  </si>
  <si>
    <t>יוסף</t>
  </si>
  <si>
    <t>סיבוני</t>
  </si>
  <si>
    <t>תמר</t>
  </si>
  <si>
    <t>זאב</t>
  </si>
  <si>
    <t>ענת</t>
  </si>
  <si>
    <t>אבינועם</t>
  </si>
  <si>
    <t>יותם</t>
  </si>
  <si>
    <t>נדב</t>
  </si>
  <si>
    <t>עידו</t>
  </si>
  <si>
    <t>נועה</t>
  </si>
  <si>
    <t>רז</t>
  </si>
  <si>
    <t>רחל</t>
  </si>
  <si>
    <t>גלעד</t>
  </si>
  <si>
    <t>מרים</t>
  </si>
  <si>
    <t>זיו</t>
  </si>
  <si>
    <t>זשי</t>
  </si>
  <si>
    <t>יובל</t>
  </si>
  <si>
    <t>ענבל</t>
  </si>
  <si>
    <t>איתן</t>
  </si>
  <si>
    <t>נעמה</t>
  </si>
  <si>
    <t>גיא</t>
  </si>
  <si>
    <t>אילנה</t>
  </si>
  <si>
    <t>דויד</t>
  </si>
  <si>
    <t>אוהד</t>
  </si>
  <si>
    <t>מאיה</t>
  </si>
  <si>
    <t>מיכאל</t>
  </si>
  <si>
    <t>אירית</t>
  </si>
  <si>
    <t>אלעד</t>
  </si>
  <si>
    <t>טל</t>
  </si>
  <si>
    <t>עמית</t>
  </si>
  <si>
    <t>גלי</t>
  </si>
  <si>
    <t>שחר</t>
  </si>
  <si>
    <t>הדר</t>
  </si>
  <si>
    <t>יוני</t>
  </si>
  <si>
    <t>לילי</t>
  </si>
  <si>
    <t>אורנה</t>
  </si>
  <si>
    <t>אלכס</t>
  </si>
  <si>
    <t>שגיא</t>
  </si>
  <si>
    <t>גאולה</t>
  </si>
  <si>
    <t>גילית</t>
  </si>
  <si>
    <t>אולי</t>
  </si>
  <si>
    <t>עדי</t>
  </si>
  <si>
    <t>אפרת</t>
  </si>
  <si>
    <t>רותי</t>
  </si>
  <si>
    <t>עזרא</t>
  </si>
  <si>
    <t>חננה</t>
  </si>
  <si>
    <t>לאה</t>
  </si>
  <si>
    <t>דפנה</t>
  </si>
  <si>
    <t>רן</t>
  </si>
  <si>
    <t>אהוד</t>
  </si>
  <si>
    <t>שלומי</t>
  </si>
  <si>
    <t>דרור</t>
  </si>
  <si>
    <t>בתיה</t>
  </si>
  <si>
    <t>אריה</t>
  </si>
  <si>
    <t>שרה</t>
  </si>
  <si>
    <t>יעל</t>
  </si>
  <si>
    <t>רינה</t>
  </si>
  <si>
    <t>שולה</t>
  </si>
  <si>
    <t>בת אל</t>
  </si>
  <si>
    <t>תאריך לידה</t>
  </si>
  <si>
    <t>יישוב</t>
  </si>
  <si>
    <t>סוג כרטיס</t>
  </si>
  <si>
    <t>רגיל</t>
  </si>
  <si>
    <t>מיוחד</t>
  </si>
  <si>
    <t>פרימיום</t>
  </si>
  <si>
    <t>תאריך תחילת לימודים</t>
  </si>
  <si>
    <t>טבלה 1</t>
  </si>
  <si>
    <t>הכנסות</t>
  </si>
  <si>
    <t>סה"כ הוצאות</t>
  </si>
  <si>
    <t>רווח</t>
  </si>
  <si>
    <t>בר</t>
  </si>
  <si>
    <t xml:space="preserve">מעל 200 </t>
  </si>
  <si>
    <t>טבלה 2</t>
  </si>
  <si>
    <t>דבי</t>
  </si>
  <si>
    <t>תבור</t>
  </si>
  <si>
    <t>לוין</t>
  </si>
  <si>
    <t>דיין</t>
  </si>
  <si>
    <t>חן</t>
  </si>
  <si>
    <t>אפרים</t>
  </si>
  <si>
    <t>בן</t>
  </si>
  <si>
    <t>גולן</t>
  </si>
  <si>
    <t>רב</t>
  </si>
  <si>
    <t>תומר</t>
  </si>
  <si>
    <t>בגין</t>
  </si>
  <si>
    <t>כוכב</t>
  </si>
  <si>
    <t>אברג'יל</t>
  </si>
  <si>
    <t>אבירי</t>
  </si>
  <si>
    <t>הכהן</t>
  </si>
  <si>
    <t>נווה</t>
  </si>
  <si>
    <t>בן-נר</t>
  </si>
  <si>
    <t>דברת</t>
  </si>
  <si>
    <t>גבע</t>
  </si>
  <si>
    <t>קור</t>
  </si>
  <si>
    <t>דין</t>
  </si>
  <si>
    <t>רוגל</t>
  </si>
  <si>
    <t>לבייב</t>
  </si>
  <si>
    <t>גיל</t>
  </si>
  <si>
    <t>אשד</t>
  </si>
  <si>
    <t>כהנא</t>
  </si>
  <si>
    <t>רונית</t>
  </si>
  <si>
    <t>אור</t>
  </si>
  <si>
    <t>רונן</t>
  </si>
  <si>
    <t>אשל</t>
  </si>
  <si>
    <t>שקד</t>
  </si>
  <si>
    <t>ניר</t>
  </si>
  <si>
    <t>שומרון</t>
  </si>
  <si>
    <t>המר</t>
  </si>
  <si>
    <t>המלאה</t>
  </si>
  <si>
    <t>מיכל</t>
  </si>
  <si>
    <t>משה</t>
  </si>
  <si>
    <t>נירית</t>
  </si>
  <si>
    <t>עוזי</t>
  </si>
  <si>
    <t>עמיר</t>
  </si>
  <si>
    <t>אסי</t>
  </si>
  <si>
    <t>עמי</t>
  </si>
  <si>
    <t>בני</t>
  </si>
  <si>
    <t>לינור</t>
  </si>
  <si>
    <t>תמי</t>
  </si>
  <si>
    <t>דוד</t>
  </si>
  <si>
    <t>זהבה</t>
  </si>
  <si>
    <t>יורם</t>
  </si>
  <si>
    <t>יקיר</t>
  </si>
  <si>
    <t>נרי</t>
  </si>
  <si>
    <t>שירי</t>
  </si>
  <si>
    <t>מיה</t>
  </si>
  <si>
    <t>קובי</t>
  </si>
  <si>
    <t>אלי</t>
  </si>
  <si>
    <t>דני</t>
  </si>
  <si>
    <t>יפית</t>
  </si>
  <si>
    <t>צבי</t>
  </si>
  <si>
    <t>ציפי</t>
  </si>
  <si>
    <t>רוני</t>
  </si>
  <si>
    <t>שרי</t>
  </si>
  <si>
    <t>דלית</t>
  </si>
  <si>
    <t>טלי</t>
  </si>
  <si>
    <t>יפה</t>
  </si>
  <si>
    <t>יפתח</t>
  </si>
  <si>
    <t>רון</t>
  </si>
  <si>
    <t>ריקי</t>
  </si>
  <si>
    <t>שדה</t>
  </si>
  <si>
    <t>גדי</t>
  </si>
  <si>
    <t>רופין</t>
  </si>
  <si>
    <t>שם משפחה ופרטי</t>
  </si>
  <si>
    <t>יום הולדת הקרוב</t>
  </si>
  <si>
    <t>שעת הגעה</t>
  </si>
  <si>
    <t>שעת עזיבה</t>
  </si>
  <si>
    <t>זמן שהייה במסיבה</t>
  </si>
  <si>
    <t>הבינתחומי</t>
  </si>
  <si>
    <t>נתניה</t>
  </si>
  <si>
    <t>וינגייט</t>
  </si>
  <si>
    <t>מחיר כרטיס</t>
  </si>
  <si>
    <t>בית הלוי</t>
  </si>
  <si>
    <t>בורגתא</t>
  </si>
  <si>
    <t>בארותיים</t>
  </si>
  <si>
    <t>חדרה</t>
  </si>
  <si>
    <t>חניאל</t>
  </si>
  <si>
    <t>כפר חיים</t>
  </si>
  <si>
    <t>הרצליה</t>
  </si>
  <si>
    <t>כפר מונאש</t>
  </si>
  <si>
    <t>ישוב</t>
  </si>
  <si>
    <t xml:space="preserve">קוד ישוב </t>
  </si>
  <si>
    <t>072</t>
  </si>
  <si>
    <t>016</t>
  </si>
  <si>
    <t>048</t>
  </si>
  <si>
    <t>04</t>
  </si>
  <si>
    <t>015</t>
  </si>
  <si>
    <t>07</t>
  </si>
  <si>
    <t>047</t>
  </si>
  <si>
    <t>01</t>
  </si>
  <si>
    <t>024</t>
  </si>
  <si>
    <t>מרחק (ק"מ)</t>
  </si>
  <si>
    <t>זמן נסיעה (ש)</t>
  </si>
  <si>
    <t>סכום בזבוזים</t>
  </si>
  <si>
    <t>שווי מתנה</t>
  </si>
  <si>
    <t>מסיבת יום הסטודנט</t>
  </si>
  <si>
    <t>ספירת מס. המשתתפים ביום הסטודנט לפי יישובים ומכללות (ועפ"י סוג כרטיס)</t>
  </si>
  <si>
    <t>סטטיסטיקה</t>
  </si>
  <si>
    <t>יישוב / מכללה</t>
  </si>
  <si>
    <t>מס. סטודנטים (עד כולל)</t>
  </si>
  <si>
    <t>עלות לסטודנט</t>
  </si>
  <si>
    <t>מספר סטודנטים (X)</t>
  </si>
  <si>
    <t>טבלה 3</t>
  </si>
  <si>
    <t xml:space="preserve">ת.ז. </t>
  </si>
  <si>
    <t>מחיר כרטיס כניסה</t>
  </si>
  <si>
    <t>ראו הנחיות לשאלות 1-5 בהמשך הגיליון --&gt;</t>
  </si>
  <si>
    <t>עמודת עזר</t>
  </si>
  <si>
    <t>נוסחאת עזר</t>
  </si>
  <si>
    <t>שנת לימודים</t>
  </si>
  <si>
    <t>עד</t>
  </si>
  <si>
    <t>שנה</t>
  </si>
  <si>
    <t>כרטיסים</t>
  </si>
  <si>
    <t>סוג</t>
  </si>
  <si>
    <t>מעל</t>
  </si>
  <si>
    <t>סוגי כרטיס</t>
  </si>
  <si>
    <t>ב</t>
  </si>
  <si>
    <t>א</t>
  </si>
  <si>
    <t>תוויות שורה</t>
  </si>
  <si>
    <t>סכום כולל</t>
  </si>
  <si>
    <t>תוויות עמודה</t>
  </si>
  <si>
    <t>ממוצע של סכום בזבוזים</t>
  </si>
  <si>
    <t>&gt;=01/01/2019</t>
  </si>
  <si>
    <t>&lt;=31/12/2021</t>
  </si>
  <si>
    <t>עלויות קבועות</t>
  </si>
  <si>
    <t>עלות בר</t>
  </si>
  <si>
    <t>סעיף ב</t>
  </si>
  <si>
    <t>ההכנסות</t>
  </si>
  <si>
    <t>סה"כ ההוצאות</t>
  </si>
  <si>
    <t>הוצאות קבועות</t>
  </si>
  <si>
    <t>מספר סטודנטים</t>
  </si>
  <si>
    <t xml:space="preserve">גדול </t>
  </si>
  <si>
    <t>שעת עזיבה חייבת להיות גדולה מ20:00 אחרת עבר חצות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</si>
</sst>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-&quot;₪&quot;* #,##0.00_-;\-&quot;₪&quot;* #,##0.00_-;_-&quot;₪&quot;* &quot;-&quot;??_-;_-@_-"/>
    <numFmt numFmtId="165" formatCode="[$-F400]h:mm:ss\ AM/PM"/>
    <numFmt numFmtId="166" formatCode="_-&quot;₪&quot;* #,##0_-;\-&quot;₪&quot;* #,##0_-;_-&quot;₪&quot;* &quot;-&quot;??_-;_-@_-"/>
    <numFmt numFmtId="170" formatCode="&quot;₪&quot;\ #,##0.00"/>
    <numFmt numFmtId="172" formatCode="&quot;₪&quot;\ #,##0"/>
    <numFmt numFmtId="173" formatCode="0.0"/>
  </numFmts>
  <fonts count="30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color indexed="6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3"/>
      <name val="Arial"/>
      <family val="2"/>
    </font>
    <font>
      <sz val="13"/>
      <color rgb="FF002060"/>
      <name val="Arial"/>
      <family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8"/>
      <color rgb="FF000000"/>
      <name val="Calibri"/>
      <family val="2"/>
    </font>
    <font>
      <sz val="28"/>
      <name val="Arial"/>
      <family val="2"/>
    </font>
    <font>
      <sz val="10"/>
      <color theme="0"/>
      <name val="Arial"/>
      <family val="2"/>
    </font>
    <font>
      <b/>
      <sz val="12"/>
      <color indexed="81"/>
      <name val="Tahoma"/>
      <family val="2"/>
    </font>
    <font>
      <b/>
      <i/>
      <sz val="16"/>
      <color indexed="81"/>
      <name val="Tahoma"/>
      <family val="2"/>
    </font>
    <font>
      <sz val="11"/>
      <color rgb="FFFF0000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  <charset val="177"/>
    </font>
    <font>
      <b/>
      <sz val="10"/>
      <color theme="1"/>
      <name val="Calibri"/>
      <family val="2"/>
      <charset val="177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164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1" fillId="0" borderId="0"/>
    <xf numFmtId="43" fontId="5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applyFont="1"/>
    <xf numFmtId="0" fontId="6" fillId="0" borderId="0" xfId="2"/>
    <xf numFmtId="0" fontId="7" fillId="0" borderId="0" xfId="2" applyFont="1" applyAlignment="1">
      <alignment horizontal="center"/>
    </xf>
    <xf numFmtId="0" fontId="8" fillId="0" borderId="0" xfId="2" applyFont="1"/>
    <xf numFmtId="0" fontId="7" fillId="3" borderId="1" xfId="2" applyFont="1" applyFill="1" applyBorder="1"/>
    <xf numFmtId="0" fontId="7" fillId="6" borderId="1" xfId="2" applyFont="1" applyFill="1" applyBorder="1"/>
    <xf numFmtId="0" fontId="10" fillId="2" borderId="1" xfId="2" applyFont="1" applyFill="1" applyBorder="1"/>
    <xf numFmtId="0" fontId="10" fillId="4" borderId="1" xfId="2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" fillId="0" borderId="1" xfId="1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9" fillId="0" borderId="1" xfId="5" applyFont="1" applyBorder="1" applyAlignment="1">
      <alignment horizontal="center" vertical="center"/>
    </xf>
    <xf numFmtId="0" fontId="2" fillId="0" borderId="1" xfId="1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166" fontId="0" fillId="0" borderId="1" xfId="1" applyNumberFormat="1" applyFont="1" applyBorder="1"/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/>
    <xf numFmtId="20" fontId="2" fillId="0" borderId="1" xfId="0" applyNumberFormat="1" applyFont="1" applyBorder="1" applyAlignment="1">
      <alignment horizontal="center" vertical="center"/>
    </xf>
    <xf numFmtId="0" fontId="13" fillId="5" borderId="1" xfId="2" applyFont="1" applyFill="1" applyBorder="1"/>
    <xf numFmtId="0" fontId="13" fillId="0" borderId="1" xfId="2" applyFont="1" applyBorder="1" applyAlignment="1">
      <alignment horizontal="center"/>
    </xf>
    <xf numFmtId="166" fontId="14" fillId="5" borderId="1" xfId="4" applyNumberFormat="1" applyFont="1" applyFill="1" applyBorder="1"/>
    <xf numFmtId="0" fontId="15" fillId="0" borderId="1" xfId="0" applyFont="1" applyBorder="1"/>
    <xf numFmtId="0" fontId="16" fillId="0" borderId="1" xfId="0" applyFont="1" applyBorder="1"/>
    <xf numFmtId="0" fontId="15" fillId="0" borderId="0" xfId="0" applyFont="1"/>
    <xf numFmtId="0" fontId="17" fillId="0" borderId="0" xfId="0" applyFont="1"/>
    <xf numFmtId="0" fontId="7" fillId="2" borderId="1" xfId="2" applyFont="1" applyFill="1" applyBorder="1" applyAlignment="1"/>
    <xf numFmtId="0" fontId="18" fillId="0" borderId="0" xfId="7" applyFont="1"/>
    <xf numFmtId="0" fontId="20" fillId="3" borderId="3" xfId="7" applyFont="1" applyFill="1" applyBorder="1"/>
    <xf numFmtId="0" fontId="21" fillId="0" borderId="0" xfId="7" applyFont="1"/>
    <xf numFmtId="22" fontId="21" fillId="0" borderId="0" xfId="7" applyNumberFormat="1" applyFont="1"/>
    <xf numFmtId="0" fontId="0" fillId="3" borderId="1" xfId="0" applyFill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/>
    </xf>
    <xf numFmtId="0" fontId="7" fillId="3" borderId="1" xfId="3" applyNumberFormat="1" applyFont="1" applyFill="1" applyBorder="1" applyAlignment="1">
      <alignment horizontal="center"/>
    </xf>
    <xf numFmtId="0" fontId="0" fillId="0" borderId="0" xfId="0" applyNumberFormat="1"/>
    <xf numFmtId="2" fontId="2" fillId="0" borderId="0" xfId="0" applyNumberFormat="1" applyFont="1"/>
    <xf numFmtId="0" fontId="24" fillId="0" borderId="0" xfId="0" applyFont="1" applyAlignment="1">
      <alignment horizontal="center" vertical="center" wrapText="1"/>
    </xf>
    <xf numFmtId="0" fontId="11" fillId="0" borderId="0" xfId="0" applyFont="1" applyAlignment="1">
      <alignment horizontal="right" vertical="center"/>
    </xf>
    <xf numFmtId="14" fontId="2" fillId="0" borderId="0" xfId="0" applyNumberFormat="1" applyFont="1"/>
    <xf numFmtId="14" fontId="2" fillId="0" borderId="1" xfId="1" applyNumberFormat="1" applyFont="1" applyBorder="1" applyAlignment="1">
      <alignment horizontal="center" vertical="center" wrapText="1"/>
    </xf>
    <xf numFmtId="172" fontId="2" fillId="0" borderId="1" xfId="1" applyNumberFormat="1" applyFont="1" applyBorder="1" applyAlignment="1">
      <alignment horizontal="center" vertical="center" wrapText="1"/>
    </xf>
    <xf numFmtId="165" fontId="2" fillId="0" borderId="1" xfId="1" applyNumberFormat="1" applyFont="1" applyBorder="1" applyAlignment="1">
      <alignment horizontal="center" vertical="center" wrapText="1"/>
    </xf>
    <xf numFmtId="173" fontId="2" fillId="0" borderId="0" xfId="0" applyNumberFormat="1" applyFont="1"/>
    <xf numFmtId="165" fontId="0" fillId="0" borderId="0" xfId="0" applyNumberFormat="1"/>
    <xf numFmtId="170" fontId="0" fillId="0" borderId="0" xfId="0" applyNumberFormat="1"/>
    <xf numFmtId="172" fontId="0" fillId="0" borderId="0" xfId="0" applyNumberFormat="1"/>
    <xf numFmtId="14" fontId="0" fillId="0" borderId="0" xfId="0" applyNumberFormat="1"/>
    <xf numFmtId="0" fontId="15" fillId="0" borderId="4" xfId="0" applyFont="1" applyBorder="1"/>
    <xf numFmtId="0" fontId="0" fillId="0" borderId="6" xfId="0" applyBorder="1"/>
    <xf numFmtId="0" fontId="0" fillId="0" borderId="7" xfId="0" applyBorder="1"/>
    <xf numFmtId="0" fontId="0" fillId="3" borderId="5" xfId="0" applyFill="1" applyBorder="1"/>
    <xf numFmtId="0" fontId="0" fillId="8" borderId="0" xfId="0" applyFill="1"/>
    <xf numFmtId="0" fontId="0" fillId="0" borderId="0" xfId="0" pivotButton="1"/>
    <xf numFmtId="0" fontId="0" fillId="0" borderId="0" xfId="0" applyAlignment="1">
      <alignment horizontal="right"/>
    </xf>
    <xf numFmtId="43" fontId="0" fillId="7" borderId="0" xfId="8" applyFont="1" applyFill="1"/>
    <xf numFmtId="170" fontId="0" fillId="7" borderId="0" xfId="0" applyNumberFormat="1" applyFill="1"/>
    <xf numFmtId="0" fontId="7" fillId="9" borderId="1" xfId="2" applyFont="1" applyFill="1" applyBorder="1"/>
    <xf numFmtId="0" fontId="26" fillId="10" borderId="1" xfId="0" applyFont="1" applyFill="1" applyBorder="1"/>
    <xf numFmtId="0" fontId="27" fillId="11" borderId="0" xfId="0" applyFont="1" applyFill="1"/>
    <xf numFmtId="0" fontId="0" fillId="0" borderId="8" xfId="0" applyBorder="1"/>
    <xf numFmtId="0" fontId="0" fillId="0" borderId="9" xfId="0" applyBorder="1"/>
    <xf numFmtId="0" fontId="0" fillId="0" borderId="10" xfId="0" applyBorder="1"/>
    <xf numFmtId="170" fontId="28" fillId="8" borderId="1" xfId="4" applyNumberFormat="1" applyFont="1" applyFill="1" applyBorder="1"/>
    <xf numFmtId="170" fontId="29" fillId="8" borderId="1" xfId="0" applyNumberFormat="1" applyFont="1" applyFill="1" applyBorder="1"/>
    <xf numFmtId="170" fontId="29" fillId="8" borderId="12" xfId="0" applyNumberFormat="1" applyFont="1" applyFill="1" applyBorder="1"/>
    <xf numFmtId="170" fontId="0" fillId="0" borderId="1" xfId="0" applyNumberFormat="1" applyBorder="1"/>
    <xf numFmtId="170" fontId="0" fillId="0" borderId="12" xfId="0" applyNumberFormat="1" applyBorder="1"/>
    <xf numFmtId="170" fontId="6" fillId="0" borderId="1" xfId="2" applyNumberFormat="1" applyBorder="1"/>
    <xf numFmtId="170" fontId="6" fillId="0" borderId="12" xfId="2" applyNumberFormat="1" applyBorder="1"/>
    <xf numFmtId="170" fontId="0" fillId="0" borderId="14" xfId="0" applyNumberFormat="1" applyBorder="1"/>
    <xf numFmtId="170" fontId="0" fillId="0" borderId="15" xfId="0" applyNumberFormat="1" applyBorder="1"/>
    <xf numFmtId="170" fontId="8" fillId="6" borderId="1" xfId="4" applyNumberFormat="1" applyFont="1" applyFill="1" applyBorder="1"/>
    <xf numFmtId="170" fontId="7" fillId="2" borderId="1" xfId="4" applyNumberFormat="1" applyFont="1" applyFill="1" applyBorder="1"/>
    <xf numFmtId="170" fontId="7" fillId="9" borderId="1" xfId="2" applyNumberFormat="1" applyFont="1" applyFill="1" applyBorder="1"/>
    <xf numFmtId="170" fontId="26" fillId="10" borderId="1" xfId="0" applyNumberFormat="1" applyFont="1" applyFill="1" applyBorder="1"/>
    <xf numFmtId="170" fontId="8" fillId="0" borderId="0" xfId="2" applyNumberFormat="1" applyFont="1"/>
    <xf numFmtId="170" fontId="7" fillId="4" borderId="1" xfId="4" applyNumberFormat="1" applyFont="1" applyFill="1" applyBorder="1"/>
    <xf numFmtId="0" fontId="0" fillId="8" borderId="11" xfId="0" applyFill="1" applyBorder="1"/>
    <xf numFmtId="0" fontId="0" fillId="8" borderId="13" xfId="0" applyFill="1" applyBorder="1"/>
    <xf numFmtId="0" fontId="6" fillId="0" borderId="9" xfId="2" applyBorder="1"/>
    <xf numFmtId="0" fontId="0" fillId="0" borderId="9" xfId="0" applyBorder="1" applyAlignment="1">
      <alignment horizontal="center"/>
    </xf>
    <xf numFmtId="0" fontId="6" fillId="0" borderId="10" xfId="2" applyBorder="1"/>
    <xf numFmtId="0" fontId="6" fillId="0" borderId="17" xfId="2" applyBorder="1" applyAlignment="1">
      <alignment horizontal="center" textRotation="255"/>
    </xf>
    <xf numFmtId="0" fontId="6" fillId="0" borderId="18" xfId="2" applyBorder="1" applyAlignment="1">
      <alignment horizontal="center" textRotation="255"/>
    </xf>
    <xf numFmtId="172" fontId="0" fillId="0" borderId="1" xfId="0" applyNumberFormat="1" applyBorder="1"/>
    <xf numFmtId="172" fontId="0" fillId="0" borderId="12" xfId="0" applyNumberFormat="1" applyBorder="1"/>
    <xf numFmtId="172" fontId="6" fillId="0" borderId="1" xfId="2" applyNumberFormat="1" applyBorder="1"/>
    <xf numFmtId="172" fontId="6" fillId="0" borderId="12" xfId="2" applyNumberFormat="1" applyBorder="1"/>
    <xf numFmtId="172" fontId="0" fillId="0" borderId="14" xfId="0" applyNumberFormat="1" applyBorder="1"/>
    <xf numFmtId="172" fontId="0" fillId="0" borderId="15" xfId="0" applyNumberFormat="1" applyBorder="1"/>
    <xf numFmtId="172" fontId="25" fillId="8" borderId="1" xfId="0" applyNumberFormat="1" applyFont="1" applyFill="1" applyBorder="1"/>
    <xf numFmtId="172" fontId="25" fillId="8" borderId="12" xfId="0" applyNumberFormat="1" applyFont="1" applyFill="1" applyBorder="1"/>
    <xf numFmtId="0" fontId="6" fillId="0" borderId="19" xfId="2" applyBorder="1" applyAlignment="1">
      <alignment horizontal="center" textRotation="255"/>
    </xf>
    <xf numFmtId="0" fontId="6" fillId="0" borderId="20" xfId="2" applyBorder="1" applyAlignment="1">
      <alignment horizontal="center" textRotation="255"/>
    </xf>
    <xf numFmtId="172" fontId="6" fillId="0" borderId="4" xfId="2" applyNumberFormat="1" applyBorder="1"/>
    <xf numFmtId="172" fontId="0" fillId="0" borderId="4" xfId="0" applyNumberFormat="1" applyBorder="1"/>
    <xf numFmtId="172" fontId="0" fillId="0" borderId="16" xfId="0" applyNumberFormat="1" applyBorder="1"/>
    <xf numFmtId="170" fontId="28" fillId="8" borderId="21" xfId="2" applyNumberFormat="1" applyFont="1" applyFill="1" applyBorder="1"/>
    <xf numFmtId="0" fontId="6" fillId="8" borderId="5" xfId="2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6" fillId="8" borderId="6" xfId="2" applyFill="1" applyBorder="1" applyAlignment="1">
      <alignment horizontal="center" vertical="center"/>
    </xf>
    <xf numFmtId="0" fontId="6" fillId="8" borderId="7" xfId="2" applyFill="1" applyBorder="1" applyAlignment="1">
      <alignment horizontal="center" vertical="center"/>
    </xf>
    <xf numFmtId="0" fontId="2" fillId="0" borderId="1" xfId="0" applyFont="1" applyBorder="1"/>
    <xf numFmtId="20" fontId="2" fillId="0" borderId="1" xfId="0" applyNumberFormat="1" applyFont="1" applyBorder="1"/>
    <xf numFmtId="165" fontId="2" fillId="0" borderId="1" xfId="0" applyNumberFormat="1" applyFont="1" applyBorder="1"/>
    <xf numFmtId="0" fontId="2" fillId="8" borderId="0" xfId="0" applyFont="1" applyFill="1"/>
  </cellXfs>
  <cellStyles count="9">
    <cellStyle name="Comma" xfId="8" builtinId="3"/>
    <cellStyle name="Comma 2" xfId="3" xr:uid="{62C8AD67-9777-4C72-A419-38E5EB547A82}"/>
    <cellStyle name="Currency" xfId="1" builtinId="4"/>
    <cellStyle name="Currency 2" xfId="4" xr:uid="{DE953410-FDFF-4724-A6E7-EA4E633DD840}"/>
    <cellStyle name="Normal" xfId="0" builtinId="0"/>
    <cellStyle name="Normal 2 3" xfId="2" xr:uid="{21A3055C-6B68-4160-AE72-133A8AE24560}"/>
    <cellStyle name="Normal 3" xfId="7" xr:uid="{DC7A1B3A-2901-408F-B51C-E4CED1FAB606}"/>
    <cellStyle name="Normal 4" xfId="6" xr:uid="{A7FAB5CA-BD0B-48FB-8F98-AE36832288AF}"/>
    <cellStyle name="Normal_Library_Rup_ver3" xfId="5" xr:uid="{56C9F5D3-74AA-42E1-AC1F-266D6DC5EDAF}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24994659260841701"/>
        </patternFill>
      </fill>
    </dxf>
    <dxf>
      <fill>
        <patternFill patternType="solid">
          <bgColor theme="4"/>
        </patternFill>
      </fill>
    </dxf>
    <dxf>
      <numFmt numFmtId="170" formatCode="&quot;₪&quot;\ #,##0.00"/>
    </dxf>
    <dxf>
      <numFmt numFmtId="170" formatCode="&quot;₪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4</xdr:row>
          <xdr:rowOff>22860</xdr:rowOff>
        </xdr:from>
        <xdr:to>
          <xdr:col>2</xdr:col>
          <xdr:colOff>220980</xdr:colOff>
          <xdr:row>7</xdr:row>
          <xdr:rowOff>45720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1">
                <a:defRPr sz="1000"/>
              </a:pPr>
              <a:r>
                <a:rPr lang="en-US" sz="28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שגר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91440</xdr:colOff>
      <xdr:row>0</xdr:row>
      <xdr:rowOff>83820</xdr:rowOff>
    </xdr:from>
    <xdr:to>
      <xdr:col>32</xdr:col>
      <xdr:colOff>61782</xdr:colOff>
      <xdr:row>10</xdr:row>
      <xdr:rowOff>120091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8996310" y="83820"/>
          <a:ext cx="5830570" cy="2413711"/>
        </a:xfrm>
        <a:prstGeom prst="rect">
          <a:avLst/>
        </a:prstGeom>
      </xdr:spPr>
    </xdr:pic>
    <xdr:clientData/>
  </xdr:twoCellAnchor>
  <xdr:twoCellAnchor editAs="oneCell">
    <xdr:from>
      <xdr:col>22</xdr:col>
      <xdr:colOff>574040</xdr:colOff>
      <xdr:row>10</xdr:row>
      <xdr:rowOff>24845</xdr:rowOff>
    </xdr:from>
    <xdr:to>
      <xdr:col>32</xdr:col>
      <xdr:colOff>414693</xdr:colOff>
      <xdr:row>15</xdr:row>
      <xdr:rowOff>109013</xdr:rowOff>
    </xdr:to>
    <xdr:pic>
      <xdr:nvPicPr>
        <xdr:cNvPr id="3" name="תמונה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8640710" y="2402285"/>
          <a:ext cx="5703570" cy="1074768"/>
        </a:xfrm>
        <a:prstGeom prst="rect">
          <a:avLst/>
        </a:prstGeom>
      </xdr:spPr>
    </xdr:pic>
    <xdr:clientData/>
  </xdr:twoCellAnchor>
  <xdr:twoCellAnchor editAs="oneCell">
    <xdr:from>
      <xdr:col>22</xdr:col>
      <xdr:colOff>400050</xdr:colOff>
      <xdr:row>16</xdr:row>
      <xdr:rowOff>2953</xdr:rowOff>
    </xdr:from>
    <xdr:to>
      <xdr:col>32</xdr:col>
      <xdr:colOff>272453</xdr:colOff>
      <xdr:row>22</xdr:row>
      <xdr:rowOff>62010</xdr:rowOff>
    </xdr:to>
    <xdr:pic>
      <xdr:nvPicPr>
        <xdr:cNvPr id="4" name="תמונה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18782950" y="3569113"/>
          <a:ext cx="5735320" cy="1247777"/>
        </a:xfrm>
        <a:prstGeom prst="rect">
          <a:avLst/>
        </a:prstGeom>
      </xdr:spPr>
    </xdr:pic>
    <xdr:clientData/>
  </xdr:twoCellAnchor>
  <xdr:twoCellAnchor editAs="oneCell">
    <xdr:from>
      <xdr:col>22</xdr:col>
      <xdr:colOff>156210</xdr:colOff>
      <xdr:row>23</xdr:row>
      <xdr:rowOff>64820</xdr:rowOff>
    </xdr:from>
    <xdr:to>
      <xdr:col>31</xdr:col>
      <xdr:colOff>553122</xdr:colOff>
      <xdr:row>31</xdr:row>
      <xdr:rowOff>68270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19096640" y="5017820"/>
          <a:ext cx="5665470" cy="1588410"/>
        </a:xfrm>
        <a:prstGeom prst="rect">
          <a:avLst/>
        </a:prstGeom>
      </xdr:spPr>
    </xdr:pic>
    <xdr:clientData/>
  </xdr:twoCellAnchor>
  <xdr:twoCellAnchor editAs="oneCell">
    <xdr:from>
      <xdr:col>22</xdr:col>
      <xdr:colOff>360680</xdr:colOff>
      <xdr:row>39</xdr:row>
      <xdr:rowOff>70254</xdr:rowOff>
    </xdr:from>
    <xdr:to>
      <xdr:col>32</xdr:col>
      <xdr:colOff>226733</xdr:colOff>
      <xdr:row>45</xdr:row>
      <xdr:rowOff>118546</xdr:rowOff>
    </xdr:to>
    <xdr:pic>
      <xdr:nvPicPr>
        <xdr:cNvPr id="6" name="תמונה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8828670" y="8391294"/>
          <a:ext cx="5728970" cy="1237012"/>
        </a:xfrm>
        <a:prstGeom prst="rect">
          <a:avLst/>
        </a:prstGeom>
      </xdr:spPr>
    </xdr:pic>
    <xdr:clientData/>
  </xdr:twoCellAnchor>
  <xdr:twoCellAnchor editAs="oneCell">
    <xdr:from>
      <xdr:col>22</xdr:col>
      <xdr:colOff>353060</xdr:colOff>
      <xdr:row>45</xdr:row>
      <xdr:rowOff>151050</xdr:rowOff>
    </xdr:from>
    <xdr:to>
      <xdr:col>32</xdr:col>
      <xdr:colOff>117513</xdr:colOff>
      <xdr:row>57</xdr:row>
      <xdr:rowOff>189409</xdr:rowOff>
    </xdr:to>
    <xdr:pic>
      <xdr:nvPicPr>
        <xdr:cNvPr id="9" name="תמונה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18937890" y="9660810"/>
          <a:ext cx="5627370" cy="2415799"/>
        </a:xfrm>
        <a:prstGeom prst="rect">
          <a:avLst/>
        </a:prstGeom>
      </xdr:spPr>
    </xdr:pic>
    <xdr:clientData/>
  </xdr:twoCellAnchor>
  <xdr:twoCellAnchor editAs="oneCell">
    <xdr:from>
      <xdr:col>22</xdr:col>
      <xdr:colOff>51707</xdr:colOff>
      <xdr:row>64</xdr:row>
      <xdr:rowOff>48986</xdr:rowOff>
    </xdr:from>
    <xdr:to>
      <xdr:col>33</xdr:col>
      <xdr:colOff>335249</xdr:colOff>
      <xdr:row>86</xdr:row>
      <xdr:rowOff>100148</xdr:rowOff>
    </xdr:to>
    <xdr:pic>
      <xdr:nvPicPr>
        <xdr:cNvPr id="8" name="תמונה 7">
          <a:extLst>
            <a:ext uri="{FF2B5EF4-FFF2-40B4-BE49-F238E27FC236}">
              <a16:creationId xmlns:a16="http://schemas.microsoft.com/office/drawing/2014/main" id="{F6440E42-CE7F-BDE8-3641-FBA36C3B4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55747801" y="12850586"/>
          <a:ext cx="6703392" cy="42421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641350</xdr:colOff>
      <xdr:row>0</xdr:row>
      <xdr:rowOff>17600</xdr:rowOff>
    </xdr:from>
    <xdr:to>
      <xdr:col>12</xdr:col>
      <xdr:colOff>552450</xdr:colOff>
      <xdr:row>7</xdr:row>
      <xdr:rowOff>152400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11236950" y="17600"/>
          <a:ext cx="6794500" cy="1379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0</xdr:row>
      <xdr:rowOff>70476</xdr:rowOff>
    </xdr:from>
    <xdr:to>
      <xdr:col>16</xdr:col>
      <xdr:colOff>419100</xdr:colOff>
      <xdr:row>14</xdr:row>
      <xdr:rowOff>99060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9008100" y="70476"/>
          <a:ext cx="5873750" cy="29965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0</xdr:row>
      <xdr:rowOff>0</xdr:rowOff>
    </xdr:from>
    <xdr:to>
      <xdr:col>19</xdr:col>
      <xdr:colOff>605860</xdr:colOff>
      <xdr:row>15</xdr:row>
      <xdr:rowOff>93453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06824900" y="0"/>
          <a:ext cx="6640900" cy="2760453"/>
        </a:xfrm>
        <a:prstGeom prst="rect">
          <a:avLst/>
        </a:prstGeom>
      </xdr:spPr>
    </xdr:pic>
    <xdr:clientData/>
  </xdr:twoCellAnchor>
  <xdr:twoCellAnchor editAs="oneCell">
    <xdr:from>
      <xdr:col>0</xdr:col>
      <xdr:colOff>426720</xdr:colOff>
      <xdr:row>9</xdr:row>
      <xdr:rowOff>91440</xdr:rowOff>
    </xdr:from>
    <xdr:to>
      <xdr:col>4</xdr:col>
      <xdr:colOff>510540</xdr:colOff>
      <xdr:row>16</xdr:row>
      <xdr:rowOff>152400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תאריך תחילת לימודים">
              <a:extLst>
                <a:ext uri="{FF2B5EF4-FFF2-40B4-BE49-F238E27FC236}">
                  <a16:creationId xmlns:a16="http://schemas.microsoft.com/office/drawing/2014/main" id="{E2829E9F-155A-0738-0A6C-39C586265E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תאריך תחילת לימודים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6055720" y="1737360"/>
              <a:ext cx="3337560" cy="13411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ציר זמן: עובד ב- Excel 2013 ואילך. אל תזיז או תשנה גודל.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124460</xdr:colOff>
      <xdr:row>0</xdr:row>
      <xdr:rowOff>0</xdr:rowOff>
    </xdr:from>
    <xdr:to>
      <xdr:col>24</xdr:col>
      <xdr:colOff>553380</xdr:colOff>
      <xdr:row>25</xdr:row>
      <xdr:rowOff>33860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23176220" y="0"/>
          <a:ext cx="5778160" cy="522308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</xdr:colOff>
      <xdr:row>9</xdr:row>
      <xdr:rowOff>243840</xdr:rowOff>
    </xdr:from>
    <xdr:to>
      <xdr:col>2</xdr:col>
      <xdr:colOff>239694</xdr:colOff>
      <xdr:row>18</xdr:row>
      <xdr:rowOff>1694</xdr:rowOff>
    </xdr:to>
    <xdr:pic>
      <xdr:nvPicPr>
        <xdr:cNvPr id="5" name="תמונה 4">
          <a:extLst>
            <a:ext uri="{FF2B5EF4-FFF2-40B4-BE49-F238E27FC236}">
              <a16:creationId xmlns:a16="http://schemas.microsoft.com/office/drawing/2014/main" id="{6E7D0C1D-CE2F-751C-9652-CD504566C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38257466" y="2194560"/>
          <a:ext cx="2685714" cy="1685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ohar\Downloads\Class5_A_Sol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מה נלמד היום-חלק א"/>
      <sheetName val="פונקציות חיפוש"/>
      <sheetName val="Vlookup+Index+Match מדויק"/>
      <sheetName val="הוצאות משתנות"/>
      <sheetName val="דו&quot;ח"/>
      <sheetName val="חיפוש"/>
      <sheetName val="Vllokup+Match+Index"/>
      <sheetName val=" מקורב Vlookup"/>
      <sheetName val="Hlookup"/>
      <sheetName val="All מקורב"/>
      <sheetName val="Months"/>
      <sheetName val="מט&quot;ח"/>
      <sheetName val=" כיתה"/>
      <sheetName val="טבלאות"/>
      <sheetName val="חישובי מס"/>
    </sheetNames>
    <sheetDataSet>
      <sheetData sheetId="0" refreshError="1"/>
      <sheetData sheetId="1" refreshError="1"/>
      <sheetData sheetId="2">
        <row r="3">
          <cell r="A3" t="str">
            <v>ת.ז.</v>
          </cell>
        </row>
      </sheetData>
      <sheetData sheetId="3">
        <row r="3">
          <cell r="C3" t="str">
            <v>מחלקות / חודשים</v>
          </cell>
        </row>
      </sheetData>
      <sheetData sheetId="4">
        <row r="5">
          <cell r="A5" t="str">
            <v xml:space="preserve">מס' אישי  </v>
          </cell>
        </row>
      </sheetData>
      <sheetData sheetId="5">
        <row r="4">
          <cell r="C4">
            <v>1234</v>
          </cell>
        </row>
      </sheetData>
      <sheetData sheetId="6">
        <row r="2">
          <cell r="A2" t="str">
            <v>תעודת זהות</v>
          </cell>
        </row>
      </sheetData>
      <sheetData sheetId="7">
        <row r="1">
          <cell r="A1" t="str">
            <v>תאריך</v>
          </cell>
        </row>
      </sheetData>
      <sheetData sheetId="8">
        <row r="2">
          <cell r="B2" t="str">
            <v>תאריך</v>
          </cell>
        </row>
      </sheetData>
      <sheetData sheetId="9">
        <row r="9">
          <cell r="H9" t="str">
            <v>שווי קנייה /סוג לקוח</v>
          </cell>
        </row>
      </sheetData>
      <sheetData sheetId="10">
        <row r="4">
          <cell r="M4" t="str">
            <v>חודש</v>
          </cell>
        </row>
      </sheetData>
      <sheetData sheetId="11">
        <row r="4">
          <cell r="A4" t="str">
            <v>המדינה</v>
          </cell>
        </row>
      </sheetData>
      <sheetData sheetId="12" refreshError="1"/>
      <sheetData sheetId="13">
        <row r="3">
          <cell r="B3" t="str">
            <v>מיקוד</v>
          </cell>
        </row>
      </sheetData>
      <sheetData sheetId="1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דור המלך" refreshedDate="44725.646842361108" createdVersion="8" refreshedVersion="8" minRefreshableVersion="3" recordCount="109" xr:uid="{59B8C4C3-8BCC-4E44-A77E-B6CB2521D519}">
  <cacheSource type="worksheet">
    <worksheetSource ref="A2:R111" sheet="Students"/>
  </cacheSource>
  <cacheFields count="18">
    <cacheField name="מס. סטודנט" numFmtId="0">
      <sharedItems containsSemiMixedTypes="0" containsString="0" containsNumber="1" containsInteger="1" minValue="106746" maxValue="992945"/>
    </cacheField>
    <cacheField name="שם משפחה" numFmtId="0">
      <sharedItems/>
    </cacheField>
    <cacheField name="שם פרטי" numFmtId="0">
      <sharedItems/>
    </cacheField>
    <cacheField name="תאריך לידה" numFmtId="14">
      <sharedItems containsSemiMixedTypes="0" containsNonDate="0" containsDate="1" containsString="0" minDate="1995-01-11T00:00:00" maxDate="2000-07-01T00:00:00"/>
    </cacheField>
    <cacheField name="יישוב" numFmtId="0">
      <sharedItems/>
    </cacheField>
    <cacheField name="מכללה" numFmtId="14">
      <sharedItems count="4">
        <s v="נתניה"/>
        <s v="וינגייט"/>
        <s v="הבינתחומי"/>
        <s v="רופין"/>
      </sharedItems>
    </cacheField>
    <cacheField name="סוג כרטיס" numFmtId="14">
      <sharedItems count="3">
        <s v="פרימיום"/>
        <s v="רגיל"/>
        <s v="מיוחד"/>
      </sharedItems>
    </cacheField>
    <cacheField name="תאריך תחילת לימודים" numFmtId="14">
      <sharedItems containsSemiMixedTypes="0" containsNonDate="0" containsDate="1" containsString="0" minDate="2018-10-14T00:00:00" maxDate="2021-10-11T00:00:00" count="4">
        <d v="2020-10-18T00:00:00"/>
        <d v="2021-10-10T00:00:00"/>
        <d v="2019-10-27T00:00:00"/>
        <d v="2018-10-14T00:00:00"/>
      </sharedItems>
    </cacheField>
    <cacheField name="שעת הגעה" numFmtId="165">
      <sharedItems containsSemiMixedTypes="0" containsNonDate="0" containsDate="1" containsString="0" minDate="1899-12-30T18:03:38" maxDate="1899-12-30T23:58:20"/>
    </cacheField>
    <cacheField name="שעת עזיבה" numFmtId="165">
      <sharedItems containsSemiMixedTypes="0" containsNonDate="0" containsDate="1" containsString="0" minDate="1899-12-30T00:06:35" maxDate="1899-12-30T23:58:16"/>
    </cacheField>
    <cacheField name="סכום בזבוזים" numFmtId="166">
      <sharedItems containsSemiMixedTypes="0" containsString="0" containsNumber="1" containsInteger="1" minValue="21" maxValue="490" count="101">
        <n v="252"/>
        <n v="376"/>
        <n v="121"/>
        <n v="412"/>
        <n v="51"/>
        <n v="243"/>
        <n v="303"/>
        <n v="452"/>
        <n v="96"/>
        <n v="352"/>
        <n v="249"/>
        <n v="224"/>
        <n v="93"/>
        <n v="184"/>
        <n v="187"/>
        <n v="256"/>
        <n v="400"/>
        <n v="342"/>
        <n v="255"/>
        <n v="134"/>
        <n v="281"/>
        <n v="39"/>
        <n v="153"/>
        <n v="213"/>
        <n v="55"/>
        <n v="463"/>
        <n v="183"/>
        <n v="329"/>
        <n v="49"/>
        <n v="75"/>
        <n v="268"/>
        <n v="386"/>
        <n v="54"/>
        <n v="298"/>
        <n v="67"/>
        <n v="192"/>
        <n v="369"/>
        <n v="204"/>
        <n v="300"/>
        <n v="377"/>
        <n v="232"/>
        <n v="415"/>
        <n v="483"/>
        <n v="29"/>
        <n v="307"/>
        <n v="357"/>
        <n v="140"/>
        <n v="172"/>
        <n v="108"/>
        <n v="410"/>
        <n v="151"/>
        <n v="382"/>
        <n v="404"/>
        <n v="373"/>
        <n v="81"/>
        <n v="325"/>
        <n v="239"/>
        <n v="456"/>
        <n v="399"/>
        <n v="347"/>
        <n v="210"/>
        <n v="263"/>
        <n v="372"/>
        <n v="346"/>
        <n v="114"/>
        <n v="312"/>
        <n v="194"/>
        <n v="231"/>
        <n v="59"/>
        <n v="78"/>
        <n v="461"/>
        <n v="79"/>
        <n v="196"/>
        <n v="160"/>
        <n v="71"/>
        <n v="28"/>
        <n v="393"/>
        <n v="145"/>
        <n v="409"/>
        <n v="246"/>
        <n v="201"/>
        <n v="334"/>
        <n v="374"/>
        <n v="333"/>
        <n v="200"/>
        <n v="105"/>
        <n v="471"/>
        <n v="414"/>
        <n v="40"/>
        <n v="257"/>
        <n v="301"/>
        <n v="407"/>
        <n v="89"/>
        <n v="21"/>
        <n v="271"/>
        <n v="485"/>
        <n v="166"/>
        <n v="490"/>
        <n v="470"/>
        <n v="317"/>
        <n v="311"/>
      </sharedItems>
    </cacheField>
    <cacheField name="שם משפחה ופרטי" numFmtId="0">
      <sharedItems/>
    </cacheField>
    <cacheField name="יום הולדת הקרוב" numFmtId="14">
      <sharedItems containsSemiMixedTypes="0" containsNonDate="0" containsDate="1" containsString="0" minDate="2022-06-14T00:00:00" maxDate="2023-06-11T00:00:00"/>
    </cacheField>
    <cacheField name="מחיר כרטיס" numFmtId="172">
      <sharedItems containsSemiMixedTypes="0" containsString="0" containsNumber="1" containsInteger="1" minValue="40" maxValue="130"/>
    </cacheField>
    <cacheField name="זמן שהייה במסיבה" numFmtId="165">
      <sharedItems containsSemiMixedTypes="0" containsNonDate="0" containsDate="1" containsString="0" minDate="1899-12-30T01:01:30" maxDate="1899-12-30T03:58:57"/>
    </cacheField>
    <cacheField name="מרחק (ק&quot;מ)" numFmtId="0">
      <sharedItems containsSemiMixedTypes="0" containsString="0" containsNumber="1" minValue="3.3" maxValue="45.5"/>
    </cacheField>
    <cacheField name="זמן נסיעה (ש)" numFmtId="165">
      <sharedItems containsSemiMixedTypes="0" containsNonDate="0" containsDate="1" containsString="0" minDate="1899-12-30T00:08:00" maxDate="1899-12-30T00:45:00"/>
    </cacheField>
    <cacheField name="שווי מתנה" numFmtId="172">
      <sharedItems containsSemiMixedTypes="0" containsString="0" containsNumber="1" containsInteger="1" minValue="0" maxValue="260"/>
    </cacheField>
  </cacheFields>
  <extLst>
    <ext xmlns:x14="http://schemas.microsoft.com/office/spreadsheetml/2009/9/main" uri="{725AE2AE-9491-48be-B2B4-4EB974FC3084}">
      <x14:pivotCacheDefinition pivotCacheId="20250831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n v="340163"/>
    <s v="כהן"/>
    <s v="תמר"/>
    <d v="1999-11-11T00:00:00"/>
    <s v="חניאל"/>
    <x v="0"/>
    <x v="0"/>
    <x v="0"/>
    <d v="1899-12-30T21:19:19"/>
    <d v="1899-12-30T01:10:39"/>
    <x v="0"/>
    <s v="כהן תמר"/>
    <d v="2022-11-11T00:00:00"/>
    <n v="110"/>
    <d v="1899-12-30T03:51:21"/>
    <n v="19.899999999999999"/>
    <d v="1899-12-30T00:28:00"/>
    <n v="180"/>
  </r>
  <r>
    <n v="497953"/>
    <s v="אלוני"/>
    <s v="אורנה"/>
    <d v="1998-11-13T00:00:00"/>
    <s v="בורגתא"/>
    <x v="1"/>
    <x v="1"/>
    <x v="1"/>
    <d v="1899-12-30T18:30:31"/>
    <d v="1899-12-30T20:57:45"/>
    <x v="1"/>
    <s v="אלוני אורנה"/>
    <d v="2022-11-13T00:00:00"/>
    <n v="70"/>
    <d v="1899-12-30T02:27:14"/>
    <n v="31.7"/>
    <d v="1899-12-30T00:29:00"/>
    <n v="200"/>
  </r>
  <r>
    <n v="873084"/>
    <s v="לוי"/>
    <s v="זאב"/>
    <d v="1996-01-10T00:00:00"/>
    <s v="חניאל"/>
    <x v="2"/>
    <x v="1"/>
    <x v="2"/>
    <d v="1899-12-30T19:58:30"/>
    <d v="1899-12-30T21:58:49"/>
    <x v="2"/>
    <s v="לוי זאב"/>
    <d v="2023-01-10T00:00:00"/>
    <n v="50"/>
    <d v="1899-12-30T02:00:19"/>
    <n v="19.899999999999999"/>
    <d v="1899-12-30T00:28:00"/>
    <n v="150"/>
  </r>
  <r>
    <n v="375572"/>
    <s v="גבעעוני"/>
    <s v="אלעד"/>
    <d v="1997-11-03T00:00:00"/>
    <s v="נתניה"/>
    <x v="1"/>
    <x v="0"/>
    <x v="0"/>
    <d v="1899-12-30T21:45:48"/>
    <d v="1899-12-30T00:27:17"/>
    <x v="3"/>
    <s v="גבעעוני אלעד"/>
    <d v="2022-11-03T00:00:00"/>
    <n v="100"/>
    <d v="1899-12-30T02:41:30"/>
    <n v="25.4"/>
    <d v="1899-12-30T00:39:00"/>
    <n v="210"/>
  </r>
  <r>
    <n v="428981"/>
    <s v="חרסונסקי"/>
    <s v="עדי"/>
    <d v="1997-10-29T00:00:00"/>
    <s v="בארותיים"/>
    <x v="2"/>
    <x v="2"/>
    <x v="0"/>
    <d v="1899-12-30T21:15:33"/>
    <d v="1899-12-30T22:30:16"/>
    <x v="4"/>
    <s v="חרסונסקי עדי"/>
    <d v="2022-10-29T00:00:00"/>
    <n v="70"/>
    <d v="1899-12-30T01:14:43"/>
    <n v="29.7"/>
    <d v="1899-12-30T00:27:00"/>
    <n v="150"/>
  </r>
  <r>
    <n v="703924"/>
    <s v="שמעוני"/>
    <s v="בתיה"/>
    <d v="1995-06-02T00:00:00"/>
    <s v="בארותיים"/>
    <x v="3"/>
    <x v="2"/>
    <x v="2"/>
    <d v="1899-12-30T18:03:41"/>
    <d v="1899-12-30T20:52:13"/>
    <x v="5"/>
    <s v="שמעוני בתיה"/>
    <d v="2023-06-02T00:00:00"/>
    <n v="60"/>
    <d v="1899-12-30T02:48:32"/>
    <n v="29.7"/>
    <d v="1899-12-30T00:27:00"/>
    <n v="120"/>
  </r>
  <r>
    <n v="216644"/>
    <s v="לב"/>
    <s v="יותם"/>
    <d v="1997-11-26T00:00:00"/>
    <s v="חדרה"/>
    <x v="3"/>
    <x v="2"/>
    <x v="3"/>
    <d v="1899-12-30T21:05:11"/>
    <d v="1899-12-30T22:06:41"/>
    <x v="6"/>
    <s v="לב יותם"/>
    <d v="2022-11-26T00:00:00"/>
    <n v="60"/>
    <d v="1899-12-30T01:01:30"/>
    <n v="3.3"/>
    <d v="1899-12-30T00:08:00"/>
    <n v="0"/>
  </r>
  <r>
    <n v="374359"/>
    <s v="ברכה"/>
    <s v="איתן"/>
    <d v="1999-07-10T00:00:00"/>
    <s v="בית הלוי"/>
    <x v="3"/>
    <x v="1"/>
    <x v="3"/>
    <d v="1899-12-30T21:52:28"/>
    <d v="1899-12-30T23:39:36"/>
    <x v="7"/>
    <s v="ברכה איתן"/>
    <d v="2022-07-10T00:00:00"/>
    <n v="40"/>
    <d v="1899-12-30T01:47:08"/>
    <n v="19.100000000000001"/>
    <d v="1899-12-30T00:26:00"/>
    <n v="0"/>
  </r>
  <r>
    <n v="371338"/>
    <s v="פיורסקי"/>
    <s v="מאיה"/>
    <d v="1998-01-10T00:00:00"/>
    <s v="כפר מונאש"/>
    <x v="0"/>
    <x v="1"/>
    <x v="2"/>
    <d v="1899-12-30T23:14:12"/>
    <d v="1899-12-30T00:35:21"/>
    <x v="8"/>
    <s v="פיורסקי מאיה"/>
    <d v="2023-01-10T00:00:00"/>
    <n v="60"/>
    <d v="1899-12-30T01:21:08"/>
    <n v="16.8"/>
    <d v="1899-12-30T00:22:00"/>
    <n v="0"/>
  </r>
  <r>
    <n v="468022"/>
    <s v="קוריאט"/>
    <s v="לאה"/>
    <d v="1996-04-10T00:00:00"/>
    <s v="בית הלוי"/>
    <x v="2"/>
    <x v="0"/>
    <x v="2"/>
    <d v="1899-12-30T20:33:47"/>
    <d v="1899-12-30T23:39:44"/>
    <x v="9"/>
    <s v="קוריאט לאה"/>
    <d v="2023-04-10T00:00:00"/>
    <n v="120"/>
    <d v="1899-12-30T03:05:57"/>
    <n v="19.100000000000001"/>
    <d v="1899-12-30T00:26:00"/>
    <n v="150"/>
  </r>
  <r>
    <n v="498147"/>
    <s v="יצהר"/>
    <s v="ענת"/>
    <d v="1996-02-27T00:00:00"/>
    <s v="בורגתא"/>
    <x v="2"/>
    <x v="2"/>
    <x v="1"/>
    <d v="1899-12-30T23:04:14"/>
    <d v="1899-12-30T02:56:00"/>
    <x v="10"/>
    <s v="יצהר ענת"/>
    <d v="2023-02-27T00:00:00"/>
    <n v="70"/>
    <d v="1899-12-30T03:51:46"/>
    <n v="31.7"/>
    <d v="1899-12-30T00:29:00"/>
    <n v="150"/>
  </r>
  <r>
    <n v="174174"/>
    <s v="דשא"/>
    <s v="גילית"/>
    <d v="2000-04-05T00:00:00"/>
    <s v="נתניה"/>
    <x v="3"/>
    <x v="0"/>
    <x v="1"/>
    <d v="1899-12-30T22:50:04"/>
    <d v="1899-12-30T01:23:58"/>
    <x v="11"/>
    <s v="דשא גילית"/>
    <d v="2023-04-05T00:00:00"/>
    <n v="130"/>
    <d v="1899-12-30T02:33:54"/>
    <n v="25.4"/>
    <d v="1899-12-30T00:39:00"/>
    <n v="260"/>
  </r>
  <r>
    <n v="324286"/>
    <s v="לביא"/>
    <s v="עמית"/>
    <d v="1997-07-12T00:00:00"/>
    <s v="הרצליה"/>
    <x v="1"/>
    <x v="2"/>
    <x v="1"/>
    <d v="1899-12-30T19:09:29"/>
    <d v="1899-12-30T20:11:17"/>
    <x v="12"/>
    <s v="לביא עמית"/>
    <d v="2022-07-12T00:00:00"/>
    <n v="90"/>
    <d v="1899-12-30T01:01:48"/>
    <n v="45.5"/>
    <d v="1899-12-30T00:45:00"/>
    <n v="200"/>
  </r>
  <r>
    <n v="912436"/>
    <s v="דוידוביץ"/>
    <s v="רותי"/>
    <d v="1996-06-28T00:00:00"/>
    <s v="חדרה"/>
    <x v="3"/>
    <x v="1"/>
    <x v="3"/>
    <d v="1899-12-30T20:43:24"/>
    <d v="1899-12-30T23:10:10"/>
    <x v="13"/>
    <s v="דוידוביץ רותי"/>
    <d v="2022-06-28T00:00:00"/>
    <n v="40"/>
    <d v="1899-12-30T02:26:46"/>
    <n v="3.3"/>
    <d v="1899-12-30T00:08:00"/>
    <n v="120"/>
  </r>
  <r>
    <n v="217047"/>
    <s v="צורן"/>
    <s v="אהוד"/>
    <d v="1996-01-17T00:00:00"/>
    <s v="חניאל"/>
    <x v="2"/>
    <x v="1"/>
    <x v="2"/>
    <d v="1899-12-30T18:34:42"/>
    <d v="1899-12-30T21:05:21"/>
    <x v="14"/>
    <s v="צורן אהוד"/>
    <d v="2023-01-17T00:00:00"/>
    <n v="50"/>
    <d v="1899-12-30T02:30:39"/>
    <n v="19.899999999999999"/>
    <d v="1899-12-30T00:28:00"/>
    <n v="150"/>
  </r>
  <r>
    <n v="540232"/>
    <s v="סגל"/>
    <s v="שולה"/>
    <d v="1997-08-14T00:00:00"/>
    <s v="חדרה"/>
    <x v="0"/>
    <x v="0"/>
    <x v="1"/>
    <d v="1899-12-30T23:55:27"/>
    <d v="1899-12-30T01:28:12"/>
    <x v="15"/>
    <s v="סגל שולה"/>
    <d v="2022-08-14T00:00:00"/>
    <n v="110"/>
    <d v="1899-12-30T01:32:45"/>
    <n v="3.3"/>
    <d v="1899-12-30T00:08:00"/>
    <n v="220"/>
  </r>
  <r>
    <n v="592428"/>
    <s v="לוריא"/>
    <s v="יעל"/>
    <d v="1999-05-26T00:00:00"/>
    <s v="חדרה"/>
    <x v="3"/>
    <x v="2"/>
    <x v="2"/>
    <d v="1899-12-30T20:26:35"/>
    <d v="1899-12-30T22:02:44"/>
    <x v="16"/>
    <s v="לוריא יעל"/>
    <d v="2023-05-26T00:00:00"/>
    <n v="60"/>
    <d v="1899-12-30T01:36:09"/>
    <n v="3.3"/>
    <d v="1899-12-30T00:08:00"/>
    <n v="0"/>
  </r>
  <r>
    <n v="712505"/>
    <s v="ברוך"/>
    <s v="שרה"/>
    <d v="1996-02-12T00:00:00"/>
    <s v="חדרה"/>
    <x v="2"/>
    <x v="0"/>
    <x v="0"/>
    <d v="1899-12-30T22:26:53"/>
    <d v="1899-12-30T23:39:01"/>
    <x v="17"/>
    <s v="ברוך שרה"/>
    <d v="2023-02-12T00:00:00"/>
    <n v="120"/>
    <d v="1899-12-30T01:12:08"/>
    <n v="3.3"/>
    <d v="1899-12-30T00:08:00"/>
    <n v="150"/>
  </r>
  <r>
    <n v="470372"/>
    <s v="סיבוני"/>
    <s v="בת אל"/>
    <d v="1996-10-11T00:00:00"/>
    <s v="הרצליה"/>
    <x v="2"/>
    <x v="0"/>
    <x v="3"/>
    <d v="1899-12-30T23:47:55"/>
    <d v="1899-12-30T01:06:37"/>
    <x v="18"/>
    <s v="סיבוני בת אל"/>
    <d v="2022-10-11T00:00:00"/>
    <n v="120"/>
    <d v="1899-12-30T01:18:42"/>
    <n v="45.5"/>
    <d v="1899-12-30T00:45:00"/>
    <n v="150"/>
  </r>
  <r>
    <n v="299813"/>
    <s v="אבירם"/>
    <s v="נעמה"/>
    <d v="1995-09-29T00:00:00"/>
    <s v="חדרה"/>
    <x v="3"/>
    <x v="0"/>
    <x v="0"/>
    <d v="1899-12-30T20:46:37"/>
    <d v="1899-12-30T22:39:11"/>
    <x v="19"/>
    <s v="אבירם נעמה"/>
    <d v="2022-09-29T00:00:00"/>
    <n v="130"/>
    <d v="1899-12-30T01:52:34"/>
    <n v="3.3"/>
    <d v="1899-12-30T00:08:00"/>
    <n v="120"/>
  </r>
  <r>
    <n v="418335"/>
    <s v="פרידמן"/>
    <s v="מיכאל"/>
    <d v="1995-07-09T00:00:00"/>
    <s v="כפר חיים"/>
    <x v="3"/>
    <x v="2"/>
    <x v="0"/>
    <d v="1899-12-30T22:52:48"/>
    <d v="1899-12-30T00:08:00"/>
    <x v="20"/>
    <s v="פרידמן מיכאל"/>
    <d v="2022-07-09T00:00:00"/>
    <n v="60"/>
    <d v="1899-12-30T01:15:12"/>
    <n v="14.7"/>
    <d v="1899-12-30T00:24:00"/>
    <n v="120"/>
  </r>
  <r>
    <n v="523319"/>
    <s v="הרמן"/>
    <s v="עידו"/>
    <d v="1999-10-22T00:00:00"/>
    <s v="נתניה"/>
    <x v="3"/>
    <x v="1"/>
    <x v="2"/>
    <d v="1899-12-30T20:22:54"/>
    <d v="1899-12-30T00:11:38"/>
    <x v="21"/>
    <s v="הרמן עידו"/>
    <d v="2022-10-22T00:00:00"/>
    <n v="40"/>
    <d v="1899-12-30T03:48:45"/>
    <n v="25.4"/>
    <d v="1899-12-30T00:39:00"/>
    <n v="0"/>
  </r>
  <r>
    <n v="866189"/>
    <s v="ברמן"/>
    <s v="אבינועם"/>
    <d v="1995-01-29T00:00:00"/>
    <s v="הרצליה"/>
    <x v="1"/>
    <x v="0"/>
    <x v="3"/>
    <d v="1899-12-30T21:23:47"/>
    <d v="1899-12-30T00:43:51"/>
    <x v="22"/>
    <s v="ברמן אבינועם"/>
    <d v="2023-01-29T00:00:00"/>
    <n v="100"/>
    <d v="1899-12-30T03:20:04"/>
    <n v="45.5"/>
    <d v="1899-12-30T00:45:00"/>
    <n v="210"/>
  </r>
  <r>
    <n v="125709"/>
    <s v="לוי"/>
    <s v="רז"/>
    <d v="1998-11-23T00:00:00"/>
    <s v="בארותיים"/>
    <x v="1"/>
    <x v="0"/>
    <x v="0"/>
    <d v="1899-12-30T19:28:13"/>
    <d v="1899-12-30T23:27:09"/>
    <x v="23"/>
    <s v="לוי רז"/>
    <d v="2022-11-23T00:00:00"/>
    <n v="100"/>
    <d v="1899-12-30T03:58:57"/>
    <n v="29.7"/>
    <d v="1899-12-30T00:27:00"/>
    <n v="210"/>
  </r>
  <r>
    <n v="279253"/>
    <s v="סדובסקי"/>
    <s v="שגיא"/>
    <d v="1999-02-22T00:00:00"/>
    <s v="הרצליה"/>
    <x v="3"/>
    <x v="2"/>
    <x v="1"/>
    <d v="1899-12-30T18:09:39"/>
    <d v="1899-12-30T20:48:56"/>
    <x v="24"/>
    <s v="סדובסקי שגיא"/>
    <d v="2023-02-22T00:00:00"/>
    <n v="60"/>
    <d v="1899-12-30T02:39:17"/>
    <n v="45.5"/>
    <d v="1899-12-30T00:45:00"/>
    <n v="260"/>
  </r>
  <r>
    <n v="500938"/>
    <s v="פז"/>
    <s v="טל"/>
    <d v="1996-01-16T00:00:00"/>
    <s v="כפר חיים"/>
    <x v="3"/>
    <x v="2"/>
    <x v="1"/>
    <d v="1899-12-30T21:14:51"/>
    <d v="1899-12-30T23:23:50"/>
    <x v="25"/>
    <s v="פז טל"/>
    <d v="2023-01-16T00:00:00"/>
    <n v="60"/>
    <d v="1899-12-30T02:08:58"/>
    <n v="14.7"/>
    <d v="1899-12-30T00:24:00"/>
    <n v="120"/>
  </r>
  <r>
    <n v="929082"/>
    <s v="ששון"/>
    <s v="אפרת"/>
    <d v="1998-08-26T00:00:00"/>
    <s v="בית הלוי"/>
    <x v="0"/>
    <x v="2"/>
    <x v="0"/>
    <d v="1899-12-30T18:04:32"/>
    <d v="1899-12-30T20:21:07"/>
    <x v="26"/>
    <s v="ששון אפרת"/>
    <d v="2022-08-26T00:00:00"/>
    <n v="80"/>
    <d v="1899-12-30T02:16:35"/>
    <n v="19.100000000000001"/>
    <d v="1899-12-30T00:26:00"/>
    <n v="180"/>
  </r>
  <r>
    <n v="867217"/>
    <s v="רם"/>
    <s v="שלומי"/>
    <d v="1998-04-18T00:00:00"/>
    <s v="בארותיים"/>
    <x v="3"/>
    <x v="1"/>
    <x v="0"/>
    <d v="1899-12-30T22:55:27"/>
    <d v="1899-12-30T00:19:17"/>
    <x v="27"/>
    <s v="רם שלומי"/>
    <d v="2023-04-18T00:00:00"/>
    <n v="40"/>
    <d v="1899-12-30T01:23:49"/>
    <n v="29.7"/>
    <d v="1899-12-30T00:27:00"/>
    <n v="120"/>
  </r>
  <r>
    <n v="194364"/>
    <s v="קדוש"/>
    <s v="גלי"/>
    <d v="1997-11-01T00:00:00"/>
    <s v="כפר חיים"/>
    <x v="1"/>
    <x v="0"/>
    <x v="0"/>
    <d v="1899-12-30T23:16:46"/>
    <d v="1899-12-30T00:34:24"/>
    <x v="28"/>
    <s v="קדוש גלי"/>
    <d v="2022-11-01T00:00:00"/>
    <n v="100"/>
    <d v="1899-12-30T01:17:38"/>
    <n v="14.7"/>
    <d v="1899-12-30T00:24:00"/>
    <n v="210"/>
  </r>
  <r>
    <n v="981059"/>
    <s v="נעים"/>
    <s v="אולי"/>
    <d v="1998-07-08T00:00:00"/>
    <s v="בארותיים"/>
    <x v="3"/>
    <x v="0"/>
    <x v="3"/>
    <d v="1899-12-30T19:34:54"/>
    <d v="1899-12-30T20:47:02"/>
    <x v="15"/>
    <s v="נעים אולי"/>
    <d v="2022-07-08T00:00:00"/>
    <n v="130"/>
    <d v="1899-12-30T01:12:08"/>
    <n v="29.7"/>
    <d v="1899-12-30T00:27:00"/>
    <n v="0"/>
  </r>
  <r>
    <n v="783958"/>
    <s v="גמליאל"/>
    <s v="חננה"/>
    <d v="1996-12-28T00:00:00"/>
    <s v="בורגתא"/>
    <x v="1"/>
    <x v="1"/>
    <x v="2"/>
    <d v="1899-12-30T19:01:21"/>
    <d v="1899-12-30T20:15:50"/>
    <x v="29"/>
    <s v="גמליאל חננה"/>
    <d v="2022-12-28T00:00:00"/>
    <n v="70"/>
    <d v="1899-12-30T01:14:30"/>
    <n v="31.7"/>
    <d v="1899-12-30T00:29:00"/>
    <n v="210"/>
  </r>
  <r>
    <n v="106746"/>
    <s v="גרשון"/>
    <s v="ענבל"/>
    <d v="1996-03-18T00:00:00"/>
    <s v="בורגתא"/>
    <x v="3"/>
    <x v="2"/>
    <x v="0"/>
    <d v="1899-12-30T19:53:21"/>
    <d v="1899-12-30T20:56:21"/>
    <x v="30"/>
    <s v="גרשון ענבל"/>
    <d v="2023-03-18T00:00:00"/>
    <n v="60"/>
    <d v="1899-12-30T01:03:00"/>
    <n v="31.7"/>
    <d v="1899-12-30T00:29:00"/>
    <n v="120"/>
  </r>
  <r>
    <n v="849919"/>
    <s v="מורן"/>
    <s v="אירית"/>
    <d v="1995-04-14T00:00:00"/>
    <s v="נתניה"/>
    <x v="2"/>
    <x v="0"/>
    <x v="3"/>
    <d v="1899-12-30T22:14:24"/>
    <d v="1899-12-30T00:11:52"/>
    <x v="31"/>
    <s v="מורן אירית"/>
    <d v="2023-04-14T00:00:00"/>
    <n v="120"/>
    <d v="1899-12-30T01:57:28"/>
    <n v="25.4"/>
    <d v="1899-12-30T00:39:00"/>
    <n v="150"/>
  </r>
  <r>
    <n v="857517"/>
    <s v="רהב"/>
    <s v="דרור"/>
    <d v="1996-02-25T00:00:00"/>
    <s v="נתניה"/>
    <x v="1"/>
    <x v="0"/>
    <x v="1"/>
    <d v="1899-12-30T19:39:01"/>
    <d v="1899-12-30T23:06:23"/>
    <x v="24"/>
    <s v="רהב דרור"/>
    <d v="2023-02-25T00:00:00"/>
    <n v="100"/>
    <d v="1899-12-30T03:27:22"/>
    <n v="25.4"/>
    <d v="1899-12-30T00:39:00"/>
    <n v="210"/>
  </r>
  <r>
    <n v="928055"/>
    <s v="קדם"/>
    <s v="יובל"/>
    <d v="1999-11-26T00:00:00"/>
    <s v="כפר מונאש"/>
    <x v="2"/>
    <x v="2"/>
    <x v="3"/>
    <d v="1899-12-30T23:36:21"/>
    <d v="1899-12-30T02:09:13"/>
    <x v="32"/>
    <s v="קדם יובל"/>
    <d v="2022-11-26T00:00:00"/>
    <n v="70"/>
    <d v="1899-12-30T02:32:52"/>
    <n v="16.8"/>
    <d v="1899-12-30T00:22:00"/>
    <n v="0"/>
  </r>
  <r>
    <n v="932475"/>
    <s v="יוסף"/>
    <s v="רינה"/>
    <d v="1999-01-09T00:00:00"/>
    <s v="נתניה"/>
    <x v="0"/>
    <x v="2"/>
    <x v="1"/>
    <d v="1899-12-30T20:22:33"/>
    <d v="1899-12-30T21:25:34"/>
    <x v="33"/>
    <s v="יוסף רינה"/>
    <d v="2023-01-09T00:00:00"/>
    <n v="80"/>
    <d v="1899-12-30T01:03:01"/>
    <n v="25.4"/>
    <d v="1899-12-30T00:39:00"/>
    <n v="220"/>
  </r>
  <r>
    <n v="414198"/>
    <s v="ביטון"/>
    <s v="דפנה"/>
    <d v="1996-07-27T00:00:00"/>
    <s v="כפר חיים"/>
    <x v="1"/>
    <x v="2"/>
    <x v="2"/>
    <d v="1899-12-30T22:56:24"/>
    <d v="1899-12-30T01:02:09"/>
    <x v="34"/>
    <s v="ביטון דפנה"/>
    <d v="2022-07-27T00:00:00"/>
    <n v="90"/>
    <d v="1899-12-30T02:05:45"/>
    <n v="14.7"/>
    <d v="1899-12-30T00:24:00"/>
    <n v="210"/>
  </r>
  <r>
    <n v="447672"/>
    <s v="ברקאי"/>
    <s v="גיא"/>
    <d v="1996-01-13T00:00:00"/>
    <s v="הרצליה"/>
    <x v="2"/>
    <x v="0"/>
    <x v="0"/>
    <d v="1899-12-30T22:22:21"/>
    <d v="1899-12-30T01:52:41"/>
    <x v="35"/>
    <s v="ברקאי גיא"/>
    <d v="2023-01-13T00:00:00"/>
    <n v="120"/>
    <d v="1899-12-30T03:30:20"/>
    <n v="45.5"/>
    <d v="1899-12-30T00:45:00"/>
    <n v="150"/>
  </r>
  <r>
    <n v="948010"/>
    <s v="לביא"/>
    <s v="אריה"/>
    <d v="1999-12-04T00:00:00"/>
    <s v="בארותיים"/>
    <x v="2"/>
    <x v="2"/>
    <x v="1"/>
    <d v="1899-12-30T22:11:16"/>
    <d v="1899-12-30T00:06:35"/>
    <x v="23"/>
    <s v="לביא אריה"/>
    <d v="2022-12-04T00:00:00"/>
    <n v="70"/>
    <d v="1899-12-30T01:55:19"/>
    <n v="29.7"/>
    <d v="1899-12-30T00:27:00"/>
    <n v="240"/>
  </r>
  <r>
    <n v="954069"/>
    <s v="ברמן"/>
    <s v="הדר"/>
    <d v="2000-03-27T00:00:00"/>
    <s v="חניאל"/>
    <x v="3"/>
    <x v="0"/>
    <x v="1"/>
    <d v="1899-12-30T20:34:14"/>
    <d v="1899-12-30T21:56:16"/>
    <x v="36"/>
    <s v="ברמן הדר"/>
    <d v="2023-03-27T00:00:00"/>
    <n v="130"/>
    <d v="1899-12-30T01:22:01"/>
    <n v="19.899999999999999"/>
    <d v="1899-12-30T00:28:00"/>
    <n v="260"/>
  </r>
  <r>
    <n v="741713"/>
    <s v="חדיף"/>
    <s v="לילי"/>
    <d v="1999-08-13T00:00:00"/>
    <s v="חניאל"/>
    <x v="2"/>
    <x v="1"/>
    <x v="1"/>
    <d v="1899-12-30T21:51:48"/>
    <d v="1899-12-30T23:05:46"/>
    <x v="37"/>
    <s v="חדיף לילי"/>
    <d v="2022-08-13T00:00:00"/>
    <n v="50"/>
    <d v="1899-12-30T01:13:57"/>
    <n v="19.899999999999999"/>
    <d v="1899-12-30T00:28:00"/>
    <n v="240"/>
  </r>
  <r>
    <n v="660737"/>
    <s v="כנען"/>
    <s v="זשי"/>
    <d v="1995-05-13T00:00:00"/>
    <s v="כפר חיים"/>
    <x v="0"/>
    <x v="0"/>
    <x v="2"/>
    <d v="1899-12-30T19:06:51"/>
    <d v="1899-12-30T20:31:13"/>
    <x v="38"/>
    <s v="כנען זשי"/>
    <d v="2023-05-13T00:00:00"/>
    <n v="110"/>
    <d v="1899-12-30T01:24:22"/>
    <n v="14.7"/>
    <d v="1899-12-30T00:24:00"/>
    <n v="180"/>
  </r>
  <r>
    <n v="140221"/>
    <s v="גביש"/>
    <s v="אלכס"/>
    <d v="1996-08-21T00:00:00"/>
    <s v="חניאל"/>
    <x v="2"/>
    <x v="1"/>
    <x v="0"/>
    <d v="1899-12-30T23:31:07"/>
    <d v="1899-12-30T02:58:22"/>
    <x v="39"/>
    <s v="גביש אלכס"/>
    <d v="2022-08-21T00:00:00"/>
    <n v="50"/>
    <d v="1899-12-30T03:27:15"/>
    <n v="19.899999999999999"/>
    <d v="1899-12-30T00:28:00"/>
    <n v="150"/>
  </r>
  <r>
    <n v="550654"/>
    <s v="ירדן"/>
    <s v="רן"/>
    <d v="1997-10-27T00:00:00"/>
    <s v="חדרה"/>
    <x v="1"/>
    <x v="0"/>
    <x v="0"/>
    <d v="1899-12-30T21:26:16"/>
    <d v="1899-12-30T23:23:37"/>
    <x v="40"/>
    <s v="ירדן רן"/>
    <d v="2022-10-27T00:00:00"/>
    <n v="100"/>
    <d v="1899-12-30T01:57:22"/>
    <n v="3.3"/>
    <d v="1899-12-30T00:08:00"/>
    <n v="210"/>
  </r>
  <r>
    <n v="693990"/>
    <s v="חרמון"/>
    <s v="אוהד"/>
    <d v="1995-01-11T00:00:00"/>
    <s v="חניאל"/>
    <x v="3"/>
    <x v="0"/>
    <x v="3"/>
    <d v="1899-12-30T22:31:25"/>
    <d v="1899-12-30T01:40:08"/>
    <x v="41"/>
    <s v="חרמון אוהד"/>
    <d v="2023-01-11T00:00:00"/>
    <n v="130"/>
    <d v="1899-12-30T03:08:44"/>
    <n v="19.899999999999999"/>
    <d v="1899-12-30T00:28:00"/>
    <n v="120"/>
  </r>
  <r>
    <n v="673900"/>
    <s v="פיק"/>
    <s v="אילנה"/>
    <d v="1998-10-07T00:00:00"/>
    <s v="בארותיים"/>
    <x v="0"/>
    <x v="0"/>
    <x v="1"/>
    <d v="1899-12-30T23:58:20"/>
    <d v="1899-12-30T02:23:37"/>
    <x v="42"/>
    <s v="פיק אילנה"/>
    <d v="2022-10-07T00:00:00"/>
    <n v="110"/>
    <d v="1899-12-30T02:25:17"/>
    <n v="29.7"/>
    <d v="1899-12-30T00:27:00"/>
    <n v="220"/>
  </r>
  <r>
    <n v="719070"/>
    <s v="סגל"/>
    <s v="מרים"/>
    <d v="2000-06-27T00:00:00"/>
    <s v="נתניה"/>
    <x v="0"/>
    <x v="2"/>
    <x v="3"/>
    <d v="1899-12-30T23:40:46"/>
    <d v="1899-12-30T02:36:36"/>
    <x v="43"/>
    <s v="סגל מרים"/>
    <d v="2022-06-27T00:00:00"/>
    <n v="80"/>
    <d v="1899-12-30T02:55:50"/>
    <n v="25.4"/>
    <d v="1899-12-30T00:39:00"/>
    <n v="0"/>
  </r>
  <r>
    <n v="706629"/>
    <s v="כהן"/>
    <s v="רחל"/>
    <d v="1998-06-07T00:00:00"/>
    <s v="חדרה"/>
    <x v="1"/>
    <x v="2"/>
    <x v="3"/>
    <d v="1899-12-30T18:54:10"/>
    <d v="1899-12-30T21:24:14"/>
    <x v="44"/>
    <s v="כהן רחל"/>
    <d v="2023-06-07T00:00:00"/>
    <n v="90"/>
    <d v="1899-12-30T02:30:04"/>
    <n v="3.3"/>
    <d v="1899-12-30T00:08:00"/>
    <n v="0"/>
  </r>
  <r>
    <n v="398321"/>
    <s v="צוק"/>
    <s v="יוני"/>
    <d v="1995-09-27T00:00:00"/>
    <s v="בורגתא"/>
    <x v="0"/>
    <x v="1"/>
    <x v="0"/>
    <d v="1899-12-30T23:56:05"/>
    <d v="1899-12-30T02:20:22"/>
    <x v="45"/>
    <s v="צוק יוני"/>
    <d v="2022-09-27T00:00:00"/>
    <n v="60"/>
    <d v="1899-12-30T02:24:17"/>
    <n v="31.7"/>
    <d v="1899-12-30T00:29:00"/>
    <n v="180"/>
  </r>
  <r>
    <n v="903578"/>
    <s v="זהבי"/>
    <s v="זיו"/>
    <d v="1996-11-10T00:00:00"/>
    <s v="הרצליה"/>
    <x v="3"/>
    <x v="2"/>
    <x v="3"/>
    <d v="1899-12-30T23:22:05"/>
    <d v="1899-12-30T00:58:42"/>
    <x v="46"/>
    <s v="זהבי זיו"/>
    <d v="2022-11-10T00:00:00"/>
    <n v="60"/>
    <d v="1899-12-30T01:36:37"/>
    <n v="45.5"/>
    <d v="1899-12-30T00:45:00"/>
    <n v="120"/>
  </r>
  <r>
    <n v="895709"/>
    <s v="כסיף"/>
    <s v="עזרא"/>
    <d v="1997-01-05T00:00:00"/>
    <s v="הרצליה"/>
    <x v="1"/>
    <x v="2"/>
    <x v="1"/>
    <d v="1899-12-30T19:32:40"/>
    <d v="1899-12-30T21:05:19"/>
    <x v="47"/>
    <s v="כסיף עזרא"/>
    <d v="2023-01-05T00:00:00"/>
    <n v="90"/>
    <d v="1899-12-30T01:32:38"/>
    <n v="45.5"/>
    <d v="1899-12-30T00:45:00"/>
    <n v="210"/>
  </r>
  <r>
    <n v="703735"/>
    <s v="קדוש"/>
    <s v="דויד"/>
    <d v="1999-11-23T00:00:00"/>
    <s v="בורגתא"/>
    <x v="0"/>
    <x v="0"/>
    <x v="1"/>
    <d v="1899-12-30T19:27:41"/>
    <d v="1899-12-30T21:51:34"/>
    <x v="48"/>
    <s v="קדוש דויד"/>
    <d v="2022-11-23T00:00:00"/>
    <n v="110"/>
    <d v="1899-12-30T02:23:52"/>
    <n v="31.7"/>
    <d v="1899-12-30T00:29:00"/>
    <n v="220"/>
  </r>
  <r>
    <n v="155640"/>
    <s v="יהל"/>
    <s v="ברוך"/>
    <d v="1997-07-23T00:00:00"/>
    <s v="הרצליה"/>
    <x v="3"/>
    <x v="2"/>
    <x v="3"/>
    <d v="1899-12-30T19:14:47"/>
    <d v="1899-12-30T22:21:42"/>
    <x v="8"/>
    <s v="יהל ברוך"/>
    <d v="2022-07-23T00:00:00"/>
    <n v="60"/>
    <d v="1899-12-30T03:06:55"/>
    <n v="45.5"/>
    <d v="1899-12-30T00:45:00"/>
    <n v="0"/>
  </r>
  <r>
    <n v="533059"/>
    <s v="שמש"/>
    <s v="נדב"/>
    <d v="1997-11-17T00:00:00"/>
    <s v="הרצליה"/>
    <x v="2"/>
    <x v="1"/>
    <x v="2"/>
    <d v="1899-12-30T19:19:44"/>
    <d v="1899-12-30T21:11:11"/>
    <x v="49"/>
    <s v="שמש נדב"/>
    <d v="2022-11-17T00:00:00"/>
    <n v="50"/>
    <d v="1899-12-30T01:51:27"/>
    <n v="45.5"/>
    <d v="1899-12-30T00:45:00"/>
    <n v="0"/>
  </r>
  <r>
    <n v="706986"/>
    <s v="גרוס"/>
    <s v="גלעד"/>
    <d v="1999-10-08T00:00:00"/>
    <s v="בורגתא"/>
    <x v="1"/>
    <x v="2"/>
    <x v="2"/>
    <d v="1899-12-30T20:46:30"/>
    <d v="1899-12-30T00:27:12"/>
    <x v="50"/>
    <s v="גרוס גלעד"/>
    <d v="2022-10-08T00:00:00"/>
    <n v="90"/>
    <d v="1899-12-30T03:40:42"/>
    <n v="31.7"/>
    <d v="1899-12-30T00:29:00"/>
    <n v="0"/>
  </r>
  <r>
    <n v="947742"/>
    <s v="חרמוני"/>
    <s v="שחר"/>
    <d v="1996-08-08T00:00:00"/>
    <s v="בית הלוי"/>
    <x v="2"/>
    <x v="1"/>
    <x v="2"/>
    <d v="1899-12-30T23:11:34"/>
    <d v="1899-12-30T02:53:09"/>
    <x v="17"/>
    <s v="חרמוני שחר"/>
    <d v="2022-08-08T00:00:00"/>
    <n v="50"/>
    <d v="1899-12-30T03:41:35"/>
    <n v="19.100000000000001"/>
    <d v="1899-12-30T00:26:00"/>
    <n v="150"/>
  </r>
  <r>
    <n v="961812"/>
    <s v="לבנון"/>
    <s v="גאולה"/>
    <d v="1996-11-04T00:00:00"/>
    <s v="בארותיים"/>
    <x v="0"/>
    <x v="1"/>
    <x v="0"/>
    <d v="1899-12-30T22:07:31"/>
    <d v="1899-12-30T01:06:19"/>
    <x v="51"/>
    <s v="לבנון גאולה"/>
    <d v="2022-11-04T00:00:00"/>
    <n v="60"/>
    <d v="1899-12-30T02:58:48"/>
    <n v="29.7"/>
    <d v="1899-12-30T00:27:00"/>
    <n v="180"/>
  </r>
  <r>
    <n v="715580"/>
    <s v="פלג"/>
    <s v="אבינועם"/>
    <d v="1997-02-18T00:00:00"/>
    <s v="בארותיים"/>
    <x v="1"/>
    <x v="2"/>
    <x v="1"/>
    <d v="1899-12-30T22:10:28"/>
    <d v="1899-12-30T01:09:05"/>
    <x v="52"/>
    <s v="פלג אבינועם"/>
    <d v="2023-02-18T00:00:00"/>
    <n v="90"/>
    <d v="1899-12-30T02:58:37"/>
    <n v="29.7"/>
    <d v="1899-12-30T00:27:00"/>
    <n v="210"/>
  </r>
  <r>
    <n v="453100"/>
    <s v="שולמן"/>
    <s v="נועה"/>
    <d v="1995-09-07T00:00:00"/>
    <s v="חניאל"/>
    <x v="2"/>
    <x v="2"/>
    <x v="3"/>
    <d v="1899-12-30T21:08:45"/>
    <d v="1899-12-30T23:18:19"/>
    <x v="53"/>
    <s v="שולמן נועה"/>
    <d v="2022-09-07T00:00:00"/>
    <n v="70"/>
    <d v="1899-12-30T02:09:34"/>
    <n v="19.899999999999999"/>
    <d v="1899-12-30T00:28:00"/>
    <n v="150"/>
  </r>
  <r>
    <n v="777926"/>
    <s v="דבי"/>
    <s v="לאה"/>
    <d v="1995-04-06T00:00:00"/>
    <s v="בית הלוי"/>
    <x v="0"/>
    <x v="1"/>
    <x v="3"/>
    <d v="1899-12-30T18:49:28"/>
    <d v="1899-12-30T21:41:18"/>
    <x v="54"/>
    <s v="דבי לאה"/>
    <d v="2023-04-06T00:00:00"/>
    <n v="60"/>
    <d v="1899-12-30T02:51:50"/>
    <n v="19.100000000000001"/>
    <d v="1899-12-30T00:26:00"/>
    <n v="180"/>
  </r>
  <r>
    <n v="704131"/>
    <s v="תבור"/>
    <s v="מיכל"/>
    <d v="2000-02-05T00:00:00"/>
    <s v="חדרה"/>
    <x v="3"/>
    <x v="2"/>
    <x v="2"/>
    <d v="1899-12-30T18:26:20"/>
    <d v="1899-12-30T20:28:35"/>
    <x v="55"/>
    <s v="תבור מיכל"/>
    <d v="2023-02-05T00:00:00"/>
    <n v="60"/>
    <d v="1899-12-30T02:02:15"/>
    <n v="3.3"/>
    <d v="1899-12-30T00:08:00"/>
    <n v="0"/>
  </r>
  <r>
    <n v="244488"/>
    <s v="לוין"/>
    <s v="דפנה"/>
    <d v="2000-06-14T00:00:00"/>
    <s v="בארותיים"/>
    <x v="3"/>
    <x v="1"/>
    <x v="3"/>
    <d v="1899-12-30T18:07:42"/>
    <d v="1899-12-30T21:45:43"/>
    <x v="56"/>
    <s v="לוין דפנה"/>
    <d v="2022-06-14T00:00:00"/>
    <n v="40"/>
    <d v="1899-12-30T03:38:01"/>
    <n v="29.7"/>
    <d v="1899-12-30T00:27:00"/>
    <n v="0"/>
  </r>
  <r>
    <n v="269196"/>
    <s v="דיין"/>
    <s v="יעל"/>
    <d v="1996-05-06T00:00:00"/>
    <s v="נתניה"/>
    <x v="3"/>
    <x v="0"/>
    <x v="3"/>
    <d v="1899-12-30T22:49:30"/>
    <d v="1899-12-30T00:22:53"/>
    <x v="57"/>
    <s v="דיין יעל"/>
    <d v="2023-05-06T00:00:00"/>
    <n v="130"/>
    <d v="1899-12-30T01:33:23"/>
    <n v="25.4"/>
    <d v="1899-12-30T00:39:00"/>
    <n v="120"/>
  </r>
  <r>
    <n v="562161"/>
    <s v="חן"/>
    <s v="לילי"/>
    <d v="1999-07-11T00:00:00"/>
    <s v="בית הלוי"/>
    <x v="0"/>
    <x v="1"/>
    <x v="1"/>
    <d v="1899-12-30T18:21:23"/>
    <d v="1899-12-30T21:16:00"/>
    <x v="58"/>
    <s v="חן לילי"/>
    <d v="2022-07-11T00:00:00"/>
    <n v="60"/>
    <d v="1899-12-30T02:54:37"/>
    <n v="19.100000000000001"/>
    <d v="1899-12-30T00:26:00"/>
    <n v="220"/>
  </r>
  <r>
    <n v="590439"/>
    <s v="אפרים"/>
    <s v="משה"/>
    <d v="1995-05-08T00:00:00"/>
    <s v="הרצליה"/>
    <x v="2"/>
    <x v="1"/>
    <x v="1"/>
    <d v="1899-12-30T20:59:07"/>
    <d v="1899-12-30T22:26:57"/>
    <x v="59"/>
    <s v="אפרים משה"/>
    <d v="2023-05-08T00:00:00"/>
    <n v="50"/>
    <d v="1899-12-30T01:27:50"/>
    <n v="45.5"/>
    <d v="1899-12-30T00:45:00"/>
    <n v="150"/>
  </r>
  <r>
    <n v="593498"/>
    <s v="בן"/>
    <s v="נירית"/>
    <d v="1995-02-13T00:00:00"/>
    <s v="בורגתא"/>
    <x v="3"/>
    <x v="0"/>
    <x v="3"/>
    <d v="1899-12-30T19:57:17"/>
    <d v="1899-12-30T23:41:02"/>
    <x v="60"/>
    <s v="בן נירית"/>
    <d v="2023-02-13T00:00:00"/>
    <n v="130"/>
    <d v="1899-12-30T03:43:44"/>
    <n v="31.7"/>
    <d v="1899-12-30T00:29:00"/>
    <n v="120"/>
  </r>
  <r>
    <n v="783292"/>
    <s v="כהן"/>
    <s v="עוזי"/>
    <d v="1998-08-01T00:00:00"/>
    <s v="הרצליה"/>
    <x v="3"/>
    <x v="1"/>
    <x v="3"/>
    <d v="1899-12-30T21:26:38"/>
    <d v="1899-12-30T00:33:17"/>
    <x v="61"/>
    <s v="כהן עוזי"/>
    <d v="2022-08-01T00:00:00"/>
    <n v="40"/>
    <d v="1899-12-30T03:06:39"/>
    <n v="45.5"/>
    <d v="1899-12-30T00:45:00"/>
    <n v="0"/>
  </r>
  <r>
    <n v="780334"/>
    <s v="גולן"/>
    <s v="עמיר"/>
    <d v="1998-11-15T00:00:00"/>
    <s v="חניאל"/>
    <x v="1"/>
    <x v="1"/>
    <x v="2"/>
    <d v="1899-12-30T21:51:32"/>
    <d v="1899-12-30T00:31:29"/>
    <x v="62"/>
    <s v="גולן עמיר"/>
    <d v="2022-11-15T00:00:00"/>
    <n v="70"/>
    <d v="1899-12-30T02:39:58"/>
    <n v="19.899999999999999"/>
    <d v="1899-12-30T00:28:00"/>
    <n v="0"/>
  </r>
  <r>
    <n v="240427"/>
    <s v="דיין"/>
    <s v="אסי"/>
    <d v="1996-11-26T00:00:00"/>
    <s v="הרצליה"/>
    <x v="0"/>
    <x v="1"/>
    <x v="0"/>
    <d v="1899-12-30T21:47:44"/>
    <d v="1899-12-30T22:52:03"/>
    <x v="63"/>
    <s v="דיין אסי"/>
    <d v="2022-11-26T00:00:00"/>
    <n v="60"/>
    <d v="1899-12-30T01:04:20"/>
    <n v="45.5"/>
    <d v="1899-12-30T00:45:00"/>
    <n v="180"/>
  </r>
  <r>
    <n v="331453"/>
    <s v="רב"/>
    <s v="יוסף"/>
    <d v="1996-09-30T00:00:00"/>
    <s v="כפר מונאש"/>
    <x v="3"/>
    <x v="0"/>
    <x v="2"/>
    <d v="1899-12-30T19:16:43"/>
    <d v="1899-12-30T21:15:05"/>
    <x v="64"/>
    <s v="רב יוסף"/>
    <d v="2022-09-30T00:00:00"/>
    <n v="130"/>
    <d v="1899-12-30T01:58:22"/>
    <n v="16.8"/>
    <d v="1899-12-30T00:22:00"/>
    <n v="120"/>
  </r>
  <r>
    <n v="721012"/>
    <s v="תומר"/>
    <s v="עמי"/>
    <d v="1995-07-02T00:00:00"/>
    <s v="הרצליה"/>
    <x v="2"/>
    <x v="2"/>
    <x v="0"/>
    <d v="1899-12-30T22:47:35"/>
    <d v="1899-12-30T02:09:41"/>
    <x v="65"/>
    <s v="תומר עמי"/>
    <d v="2022-07-02T00:00:00"/>
    <n v="70"/>
    <d v="1899-12-30T03:22:06"/>
    <n v="45.5"/>
    <d v="1899-12-30T00:45:00"/>
    <n v="150"/>
  </r>
  <r>
    <n v="877251"/>
    <s v="בגין"/>
    <s v="בני"/>
    <d v="1997-09-01T00:00:00"/>
    <s v="הרצליה"/>
    <x v="1"/>
    <x v="2"/>
    <x v="0"/>
    <d v="1899-12-30T21:14:03"/>
    <d v="1899-12-30T01:05:28"/>
    <x v="66"/>
    <s v="בגין בני"/>
    <d v="2022-09-01T00:00:00"/>
    <n v="90"/>
    <d v="1899-12-30T03:51:26"/>
    <n v="45.5"/>
    <d v="1899-12-30T00:45:00"/>
    <n v="210"/>
  </r>
  <r>
    <n v="557169"/>
    <s v="כוכב"/>
    <s v="גיל"/>
    <d v="1995-05-08T00:00:00"/>
    <s v="נתניה"/>
    <x v="0"/>
    <x v="2"/>
    <x v="3"/>
    <d v="1899-12-30T20:12:25"/>
    <d v="1899-12-30T23:52:17"/>
    <x v="67"/>
    <s v="כוכב גיל"/>
    <d v="2023-05-08T00:00:00"/>
    <n v="80"/>
    <d v="1899-12-30T03:39:52"/>
    <n v="25.4"/>
    <d v="1899-12-30T00:39:00"/>
    <n v="180"/>
  </r>
  <r>
    <n v="477624"/>
    <s v="אברג'יל"/>
    <s v="לינור"/>
    <d v="1998-05-30T00:00:00"/>
    <s v="נתניה"/>
    <x v="0"/>
    <x v="1"/>
    <x v="3"/>
    <d v="1899-12-30T22:21:33"/>
    <d v="1899-12-30T23:56:21"/>
    <x v="68"/>
    <s v="אברג'יל לינור"/>
    <d v="2023-05-30T00:00:00"/>
    <n v="60"/>
    <d v="1899-12-30T01:34:48"/>
    <n v="25.4"/>
    <d v="1899-12-30T00:39:00"/>
    <n v="0"/>
  </r>
  <r>
    <n v="791569"/>
    <s v="אבירי"/>
    <s v="תמי"/>
    <d v="1998-06-27T00:00:00"/>
    <s v="כפר חיים"/>
    <x v="1"/>
    <x v="0"/>
    <x v="2"/>
    <d v="1899-12-30T21:15:43"/>
    <d v="1899-12-30T23:58:16"/>
    <x v="69"/>
    <s v="אבירי תמי"/>
    <d v="2022-06-27T00:00:00"/>
    <n v="100"/>
    <d v="1899-12-30T02:42:32"/>
    <n v="14.7"/>
    <d v="1899-12-30T00:24:00"/>
    <n v="0"/>
  </r>
  <r>
    <n v="890458"/>
    <s v="לוי"/>
    <s v="דוד"/>
    <d v="1996-02-07T00:00:00"/>
    <s v="נתניה"/>
    <x v="0"/>
    <x v="0"/>
    <x v="0"/>
    <d v="1899-12-30T19:16:40"/>
    <d v="1899-12-30T21:45:12"/>
    <x v="70"/>
    <s v="לוי דוד"/>
    <d v="2023-02-07T00:00:00"/>
    <n v="110"/>
    <d v="1899-12-30T02:28:32"/>
    <n v="25.4"/>
    <d v="1899-12-30T00:39:00"/>
    <n v="180"/>
  </r>
  <r>
    <n v="359777"/>
    <s v="בן"/>
    <s v="זהבה"/>
    <d v="2000-06-30T00:00:00"/>
    <s v="הרצליה"/>
    <x v="0"/>
    <x v="0"/>
    <x v="3"/>
    <d v="1899-12-30T18:25:51"/>
    <d v="1899-12-30T20:24:54"/>
    <x v="71"/>
    <s v="בן זהבה"/>
    <d v="2022-06-30T00:00:00"/>
    <n v="110"/>
    <d v="1899-12-30T01:59:03"/>
    <n v="45.5"/>
    <d v="1899-12-30T00:45:00"/>
    <n v="0"/>
  </r>
  <r>
    <n v="660341"/>
    <s v="הכהן"/>
    <s v="יורם"/>
    <d v="1998-09-25T00:00:00"/>
    <s v="בארותיים"/>
    <x v="3"/>
    <x v="1"/>
    <x v="2"/>
    <d v="1899-12-30T18:46:16"/>
    <d v="1899-12-30T20:40:55"/>
    <x v="72"/>
    <s v="הכהן יורם"/>
    <d v="2022-09-25T00:00:00"/>
    <n v="40"/>
    <d v="1899-12-30T01:54:39"/>
    <n v="29.7"/>
    <d v="1899-12-30T00:27:00"/>
    <n v="0"/>
  </r>
  <r>
    <n v="281430"/>
    <s v="נווה"/>
    <s v="יקיר"/>
    <d v="1996-09-06T00:00:00"/>
    <s v="חניאל"/>
    <x v="3"/>
    <x v="2"/>
    <x v="1"/>
    <d v="1899-12-30T19:43:35"/>
    <d v="1899-12-30T21:12:21"/>
    <x v="73"/>
    <s v="נווה יקיר"/>
    <d v="2022-09-06T00:00:00"/>
    <n v="60"/>
    <d v="1899-12-30T01:28:46"/>
    <n v="19.899999999999999"/>
    <d v="1899-12-30T00:28:00"/>
    <n v="120"/>
  </r>
  <r>
    <n v="203058"/>
    <s v="בן-נר"/>
    <s v="נרי"/>
    <d v="1998-10-26T00:00:00"/>
    <s v="חניאל"/>
    <x v="2"/>
    <x v="0"/>
    <x v="2"/>
    <d v="1899-12-30T20:22:00"/>
    <d v="1899-12-30T00:10:53"/>
    <x v="74"/>
    <s v="בן-נר נרי"/>
    <d v="2022-10-26T00:00:00"/>
    <n v="120"/>
    <d v="1899-12-30T03:48:53"/>
    <n v="19.899999999999999"/>
    <d v="1899-12-30T00:28:00"/>
    <n v="0"/>
  </r>
  <r>
    <n v="389118"/>
    <s v="רחל"/>
    <s v="רחל"/>
    <d v="1998-10-26T00:00:00"/>
    <s v="כפר מונאש"/>
    <x v="1"/>
    <x v="2"/>
    <x v="2"/>
    <d v="1899-12-30T22:07:19"/>
    <d v="1899-12-30T00:33:24"/>
    <x v="75"/>
    <s v="רחל רחל"/>
    <d v="2022-10-26T00:00:00"/>
    <n v="90"/>
    <d v="1899-12-30T02:26:04"/>
    <n v="16.8"/>
    <d v="1899-12-30T00:22:00"/>
    <n v="0"/>
  </r>
  <r>
    <n v="960184"/>
    <s v="לוי"/>
    <s v="שירי"/>
    <d v="1999-12-12T00:00:00"/>
    <s v="הרצליה"/>
    <x v="1"/>
    <x v="0"/>
    <x v="0"/>
    <d v="1899-12-30T21:43:28"/>
    <d v="1899-12-30T00:56:16"/>
    <x v="76"/>
    <s v="לוי שירי"/>
    <d v="2022-12-12T00:00:00"/>
    <n v="100"/>
    <d v="1899-12-30T03:12:48"/>
    <n v="45.5"/>
    <d v="1899-12-30T00:45:00"/>
    <n v="210"/>
  </r>
  <r>
    <n v="224807"/>
    <s v="דברת"/>
    <s v="יעל"/>
    <d v="1996-11-24T00:00:00"/>
    <s v="חדרה"/>
    <x v="0"/>
    <x v="2"/>
    <x v="3"/>
    <d v="1899-12-30T19:05:25"/>
    <d v="1899-12-30T22:15:15"/>
    <x v="77"/>
    <s v="דברת יעל"/>
    <d v="2022-11-24T00:00:00"/>
    <n v="80"/>
    <d v="1899-12-30T03:09:50"/>
    <n v="3.3"/>
    <d v="1899-12-30T00:08:00"/>
    <n v="180"/>
  </r>
  <r>
    <n v="826578"/>
    <s v="כהן"/>
    <s v="לאה"/>
    <d v="1998-06-08T00:00:00"/>
    <s v="בורגתא"/>
    <x v="3"/>
    <x v="1"/>
    <x v="3"/>
    <d v="1899-12-30T18:06:34"/>
    <d v="1899-12-30T19:57:53"/>
    <x v="78"/>
    <s v="כהן לאה"/>
    <d v="2023-06-08T00:00:00"/>
    <n v="40"/>
    <d v="1899-12-30T01:51:18"/>
    <n v="31.7"/>
    <d v="1899-12-30T00:29:00"/>
    <n v="0"/>
  </r>
  <r>
    <n v="113120"/>
    <s v="גבע"/>
    <s v="מיה"/>
    <d v="1998-01-05T00:00:00"/>
    <s v="נתניה"/>
    <x v="2"/>
    <x v="2"/>
    <x v="2"/>
    <d v="1899-12-30T21:56:46"/>
    <d v="1899-12-30T23:46:44"/>
    <x v="79"/>
    <s v="גבע מיה"/>
    <d v="2023-01-05T00:00:00"/>
    <n v="70"/>
    <d v="1899-12-30T01:49:58"/>
    <n v="25.4"/>
    <d v="1899-12-30T00:39:00"/>
    <n v="0"/>
  </r>
  <r>
    <n v="807303"/>
    <s v="יוסף"/>
    <s v="קובי"/>
    <d v="1995-09-22T00:00:00"/>
    <s v="נתניה"/>
    <x v="1"/>
    <x v="2"/>
    <x v="2"/>
    <d v="1899-12-30T19:53:43"/>
    <d v="1899-12-30T22:04:02"/>
    <x v="80"/>
    <s v="יוסף קובי"/>
    <d v="2022-09-22T00:00:00"/>
    <n v="90"/>
    <d v="1899-12-30T02:10:19"/>
    <n v="25.4"/>
    <d v="1899-12-30T00:39:00"/>
    <n v="210"/>
  </r>
  <r>
    <n v="433713"/>
    <s v="קור"/>
    <s v="אלי"/>
    <d v="1995-05-28T00:00:00"/>
    <s v="כפר חיים"/>
    <x v="0"/>
    <x v="2"/>
    <x v="2"/>
    <d v="1899-12-30T21:14:43"/>
    <d v="1899-12-30T00:35:37"/>
    <x v="81"/>
    <s v="קור אלי"/>
    <d v="2023-05-28T00:00:00"/>
    <n v="80"/>
    <d v="1899-12-30T03:20:54"/>
    <n v="14.7"/>
    <d v="1899-12-30T00:24:00"/>
    <n v="180"/>
  </r>
  <r>
    <n v="985274"/>
    <s v="דין"/>
    <s v="דני"/>
    <d v="1995-08-14T00:00:00"/>
    <s v="בארותיים"/>
    <x v="2"/>
    <x v="2"/>
    <x v="1"/>
    <d v="1899-12-30T18:53:58"/>
    <d v="1899-12-30T21:41:03"/>
    <x v="82"/>
    <s v="דין דני"/>
    <d v="2022-08-14T00:00:00"/>
    <n v="70"/>
    <d v="1899-12-30T02:47:06"/>
    <n v="29.7"/>
    <d v="1899-12-30T00:27:00"/>
    <n v="150"/>
  </r>
  <r>
    <n v="405198"/>
    <s v="רוגל"/>
    <s v="יפית"/>
    <d v="1996-03-12T00:00:00"/>
    <s v="כפר חיים"/>
    <x v="2"/>
    <x v="0"/>
    <x v="2"/>
    <d v="1899-12-30T20:55:59"/>
    <d v="1899-12-30T22:37:10"/>
    <x v="83"/>
    <s v="רוגל יפית"/>
    <d v="2023-03-12T00:00:00"/>
    <n v="120"/>
    <d v="1899-12-30T01:41:12"/>
    <n v="14.7"/>
    <d v="1899-12-30T00:24:00"/>
    <n v="150"/>
  </r>
  <r>
    <n v="612470"/>
    <s v="לבייב"/>
    <s v="לב"/>
    <d v="1995-04-26T00:00:00"/>
    <s v="נתניה"/>
    <x v="3"/>
    <x v="1"/>
    <x v="2"/>
    <d v="1899-12-30T23:31:00"/>
    <d v="1899-12-30T01:37:22"/>
    <x v="84"/>
    <s v="לבייב לב"/>
    <d v="2023-04-26T00:00:00"/>
    <n v="40"/>
    <d v="1899-12-30T02:06:22"/>
    <n v="25.4"/>
    <d v="1899-12-30T00:39:00"/>
    <n v="120"/>
  </r>
  <r>
    <n v="928113"/>
    <s v="רז"/>
    <s v="צבי"/>
    <d v="1997-04-15T00:00:00"/>
    <s v="בורגתא"/>
    <x v="0"/>
    <x v="2"/>
    <x v="3"/>
    <d v="1899-12-30T19:55:37"/>
    <d v="1899-12-30T22:11:20"/>
    <x v="85"/>
    <s v="רז צבי"/>
    <d v="2023-04-15T00:00:00"/>
    <n v="80"/>
    <d v="1899-12-30T02:15:43"/>
    <n v="31.7"/>
    <d v="1899-12-30T00:29:00"/>
    <n v="180"/>
  </r>
  <r>
    <n v="819349"/>
    <s v="בר"/>
    <s v="ציפי"/>
    <d v="1995-11-21T00:00:00"/>
    <s v="בית הלוי"/>
    <x v="0"/>
    <x v="0"/>
    <x v="0"/>
    <d v="1899-12-30T19:29:57"/>
    <d v="1899-12-30T21:32:48"/>
    <x v="86"/>
    <s v="בר ציפי"/>
    <d v="2022-11-21T00:00:00"/>
    <n v="110"/>
    <d v="1899-12-30T02:02:51"/>
    <n v="19.100000000000001"/>
    <d v="1899-12-30T00:26:00"/>
    <n v="180"/>
  </r>
  <r>
    <n v="551020"/>
    <s v="גיל"/>
    <s v="רוני"/>
    <d v="1998-07-26T00:00:00"/>
    <s v="בארותיים"/>
    <x v="3"/>
    <x v="2"/>
    <x v="2"/>
    <d v="1899-12-30T20:17:27"/>
    <d v="1899-12-30T23:18:10"/>
    <x v="87"/>
    <s v="גיל רוני"/>
    <d v="2022-07-26T00:00:00"/>
    <n v="60"/>
    <d v="1899-12-30T03:00:43"/>
    <n v="29.7"/>
    <d v="1899-12-30T00:27:00"/>
    <n v="0"/>
  </r>
  <r>
    <n v="470626"/>
    <s v="כהן"/>
    <s v="רוני"/>
    <d v="1998-06-07T00:00:00"/>
    <s v="כפר חיים"/>
    <x v="1"/>
    <x v="0"/>
    <x v="1"/>
    <d v="1899-12-30T18:03:38"/>
    <d v="1899-12-30T20:26:21"/>
    <x v="88"/>
    <s v="כהן רוני"/>
    <d v="2023-06-07T00:00:00"/>
    <n v="100"/>
    <d v="1899-12-30T02:22:43"/>
    <n v="14.7"/>
    <d v="1899-12-30T00:24:00"/>
    <n v="200"/>
  </r>
  <r>
    <n v="756286"/>
    <s v="רז"/>
    <s v="שרי"/>
    <d v="1995-04-24T00:00:00"/>
    <s v="כפר חיים"/>
    <x v="2"/>
    <x v="1"/>
    <x v="0"/>
    <d v="1899-12-30T18:25:45"/>
    <d v="1899-12-30T20:39:04"/>
    <x v="89"/>
    <s v="רז שרי"/>
    <d v="2023-04-24T00:00:00"/>
    <n v="50"/>
    <d v="1899-12-30T02:13:19"/>
    <n v="14.7"/>
    <d v="1899-12-30T00:24:00"/>
    <n v="150"/>
  </r>
  <r>
    <n v="430282"/>
    <s v="אשד"/>
    <s v="תמי"/>
    <d v="1998-07-10T00:00:00"/>
    <s v="כפר מונאש"/>
    <x v="2"/>
    <x v="0"/>
    <x v="3"/>
    <d v="1899-12-30T20:18:00"/>
    <d v="1899-12-30T23:29:20"/>
    <x v="16"/>
    <s v="אשד תמי"/>
    <d v="2022-07-10T00:00:00"/>
    <n v="120"/>
    <d v="1899-12-30T03:11:20"/>
    <n v="16.8"/>
    <d v="1899-12-30T00:22:00"/>
    <n v="0"/>
  </r>
  <r>
    <n v="110181"/>
    <s v="כהנא"/>
    <s v="דלית"/>
    <d v="1999-10-23T00:00:00"/>
    <s v="כפר מונאש"/>
    <x v="1"/>
    <x v="1"/>
    <x v="3"/>
    <d v="1899-12-30T18:52:11"/>
    <d v="1899-12-30T20:50:31"/>
    <x v="90"/>
    <s v="כהנא דלית"/>
    <d v="2022-10-23T00:00:00"/>
    <n v="70"/>
    <d v="1899-12-30T01:58:19"/>
    <n v="16.8"/>
    <d v="1899-12-30T00:22:00"/>
    <n v="0"/>
  </r>
  <r>
    <n v="801036"/>
    <s v="לוי"/>
    <s v="דפנה"/>
    <d v="1995-03-23T00:00:00"/>
    <s v="כפר חיים"/>
    <x v="3"/>
    <x v="2"/>
    <x v="2"/>
    <d v="1899-12-30T21:44:58"/>
    <d v="1899-12-30T00:43:27"/>
    <x v="91"/>
    <s v="לוי דפנה"/>
    <d v="2023-03-23T00:00:00"/>
    <n v="60"/>
    <d v="1899-12-30T02:58:29"/>
    <n v="14.7"/>
    <d v="1899-12-30T00:24:00"/>
    <n v="120"/>
  </r>
  <r>
    <n v="632856"/>
    <s v="רונית"/>
    <s v="חן"/>
    <d v="1997-04-06T00:00:00"/>
    <s v="כפר מונאש"/>
    <x v="1"/>
    <x v="2"/>
    <x v="3"/>
    <d v="1899-12-30T18:18:43"/>
    <d v="1899-12-30T21:16:21"/>
    <x v="92"/>
    <s v="רונית חן"/>
    <d v="2023-04-06T00:00:00"/>
    <n v="90"/>
    <d v="1899-12-30T02:57:38"/>
    <n v="16.8"/>
    <d v="1899-12-30T00:22:00"/>
    <n v="210"/>
  </r>
  <r>
    <n v="804693"/>
    <s v="פז"/>
    <s v="טלי"/>
    <d v="1999-08-12T00:00:00"/>
    <s v="כפר מונאש"/>
    <x v="3"/>
    <x v="1"/>
    <x v="1"/>
    <d v="1899-12-30T21:31:18"/>
    <d v="1899-12-30T01:14:39"/>
    <x v="93"/>
    <s v="פז טלי"/>
    <d v="2022-08-12T00:00:00"/>
    <n v="40"/>
    <d v="1899-12-30T03:43:22"/>
    <n v="16.8"/>
    <d v="1899-12-30T00:22:00"/>
    <n v="260"/>
  </r>
  <r>
    <n v="495038"/>
    <s v="אור"/>
    <s v="יפה"/>
    <d v="1996-11-23T00:00:00"/>
    <s v="נתניה"/>
    <x v="0"/>
    <x v="0"/>
    <x v="3"/>
    <d v="1899-12-30T19:52:18"/>
    <d v="1899-12-30T22:55:59"/>
    <x v="94"/>
    <s v="אור יפה"/>
    <d v="2022-11-23T00:00:00"/>
    <n v="110"/>
    <d v="1899-12-30T03:03:42"/>
    <n v="25.4"/>
    <d v="1899-12-30T00:39:00"/>
    <n v="180"/>
  </r>
  <r>
    <n v="241732"/>
    <s v="כהן"/>
    <s v="יפתח"/>
    <d v="1997-06-16T00:00:00"/>
    <s v="בית הלוי"/>
    <x v="0"/>
    <x v="1"/>
    <x v="2"/>
    <d v="1899-12-30T21:06:07"/>
    <d v="1899-12-30T22:08:40"/>
    <x v="4"/>
    <s v="כהן יפתח"/>
    <d v="2022-06-16T00:00:00"/>
    <n v="60"/>
    <d v="1899-12-30T01:02:33"/>
    <n v="19.100000000000001"/>
    <d v="1899-12-30T00:26:00"/>
    <n v="0"/>
  </r>
  <r>
    <n v="992945"/>
    <s v="רונן"/>
    <s v="רון"/>
    <d v="2000-06-10T00:00:00"/>
    <s v="חניאל"/>
    <x v="2"/>
    <x v="1"/>
    <x v="2"/>
    <d v="1899-12-30T23:38:41"/>
    <d v="1899-12-30T01:40:42"/>
    <x v="95"/>
    <s v="רונן רון"/>
    <d v="2023-06-10T00:00:00"/>
    <n v="50"/>
    <d v="1899-12-30T02:02:01"/>
    <n v="19.899999999999999"/>
    <d v="1899-12-30T00:28:00"/>
    <n v="0"/>
  </r>
  <r>
    <n v="747202"/>
    <s v="אשל"/>
    <s v="ריקי"/>
    <d v="1999-04-10T00:00:00"/>
    <s v="נתניה"/>
    <x v="0"/>
    <x v="1"/>
    <x v="2"/>
    <d v="1899-12-30T20:09:34"/>
    <d v="1899-12-30T22:24:46"/>
    <x v="1"/>
    <s v="אשל ריקי"/>
    <d v="2023-04-10T00:00:00"/>
    <n v="60"/>
    <d v="1899-12-30T02:15:12"/>
    <n v="25.4"/>
    <d v="1899-12-30T00:39:00"/>
    <n v="0"/>
  </r>
  <r>
    <n v="535327"/>
    <s v="שקד"/>
    <s v="שדה"/>
    <d v="1997-01-24T00:00:00"/>
    <s v="חניאל"/>
    <x v="2"/>
    <x v="0"/>
    <x v="2"/>
    <d v="1899-12-30T23:29:48"/>
    <d v="1899-12-30T00:35:06"/>
    <x v="96"/>
    <s v="שקד שדה"/>
    <d v="2023-01-24T00:00:00"/>
    <n v="120"/>
    <d v="1899-12-30T01:05:18"/>
    <n v="19.899999999999999"/>
    <d v="1899-12-30T00:28:00"/>
    <n v="150"/>
  </r>
  <r>
    <n v="137451"/>
    <s v="ניר"/>
    <s v="שרה"/>
    <d v="2000-06-22T00:00:00"/>
    <s v="חניאל"/>
    <x v="0"/>
    <x v="0"/>
    <x v="3"/>
    <d v="1899-12-30T21:59:07"/>
    <d v="1899-12-30T00:56:30"/>
    <x v="97"/>
    <s v="ניר שרה"/>
    <d v="2022-06-22T00:00:00"/>
    <n v="110"/>
    <d v="1899-12-30T02:57:23"/>
    <n v="19.899999999999999"/>
    <d v="1899-12-30T00:28:00"/>
    <n v="0"/>
  </r>
  <r>
    <n v="320536"/>
    <s v="שומרון"/>
    <s v="אוהד"/>
    <d v="1995-11-09T00:00:00"/>
    <s v="כפר מונאש"/>
    <x v="1"/>
    <x v="2"/>
    <x v="1"/>
    <d v="1899-12-30T23:24:03"/>
    <d v="1899-12-30T01:10:56"/>
    <x v="98"/>
    <s v="שומרון אוהד"/>
    <d v="2022-11-09T00:00:00"/>
    <n v="90"/>
    <d v="1899-12-30T01:46:53"/>
    <n v="16.8"/>
    <d v="1899-12-30T00:22:00"/>
    <n v="210"/>
  </r>
  <r>
    <n v="147682"/>
    <s v="המר"/>
    <s v="גדי"/>
    <d v="1995-11-24T00:00:00"/>
    <s v="בורגתא"/>
    <x v="0"/>
    <x v="2"/>
    <x v="1"/>
    <d v="1899-12-30T23:20:12"/>
    <d v="1899-12-30T01:31:44"/>
    <x v="99"/>
    <s v="המר גדי"/>
    <d v="2022-11-24T00:00:00"/>
    <n v="80"/>
    <d v="1899-12-30T02:11:32"/>
    <n v="31.7"/>
    <d v="1899-12-30T00:29:00"/>
    <n v="180"/>
  </r>
  <r>
    <n v="139093"/>
    <s v="המלאה"/>
    <s v="רחל"/>
    <d v="1998-06-18T00:00:00"/>
    <s v="חניאל"/>
    <x v="3"/>
    <x v="0"/>
    <x v="1"/>
    <d v="1899-12-30T18:36:13"/>
    <d v="1899-12-30T21:27:58"/>
    <x v="100"/>
    <s v="המלאה רחל"/>
    <d v="2022-06-18T00:00:00"/>
    <n v="130"/>
    <d v="1899-12-30T02:51:44"/>
    <n v="19.899999999999999"/>
    <d v="1899-12-30T00:28:00"/>
    <n v="2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9B773D-0E9B-4CDC-8CBD-022C24A3B4F7}" name="PivotTable1" cacheId="9" applyNumberFormats="0" applyBorderFormats="0" applyFontFormats="0" applyPatternFormats="0" applyAlignmentFormats="0" applyWidthHeightFormats="1" dataCaption="ערכים" updatedVersion="8" minRefreshableVersion="5" useAutoFormatting="1" itemPrintTitles="1" createdVersion="8" indent="0" outline="1" outlineData="1" multipleFieldFilters="0">
  <location ref="B4:G9" firstHeaderRow="1" firstDataRow="2" firstDataCol="1"/>
  <pivotFields count="18">
    <pivotField showAll="0"/>
    <pivotField showAll="0"/>
    <pivotField showAll="0"/>
    <pivotField numFmtId="14" showAll="0"/>
    <pivotField showAll="0"/>
    <pivotField axis="axisCol" showAll="0">
      <items count="5">
        <item x="2"/>
        <item x="1"/>
        <item x="0"/>
        <item x="3"/>
        <item t="default"/>
      </items>
    </pivotField>
    <pivotField axis="axisRow" showAll="0">
      <items count="4">
        <item x="2"/>
        <item x="0"/>
        <item x="1"/>
        <item t="default"/>
      </items>
    </pivotField>
    <pivotField numFmtId="14" showAll="0">
      <items count="5">
        <item x="3"/>
        <item x="2"/>
        <item x="0"/>
        <item x="1"/>
        <item t="default"/>
      </items>
    </pivotField>
    <pivotField numFmtId="165" showAll="0"/>
    <pivotField numFmtId="165" showAll="0"/>
    <pivotField dataField="1" numFmtId="166" showAll="0"/>
    <pivotField showAll="0"/>
    <pivotField numFmtId="14" showAll="0"/>
    <pivotField numFmtId="172" showAll="0"/>
    <pivotField numFmtId="165" showAll="0"/>
    <pivotField showAll="0"/>
    <pivotField numFmtId="165" showAll="0"/>
    <pivotField numFmtId="172" showAll="0"/>
  </pivotFields>
  <rowFields count="1">
    <field x="6"/>
  </rowFields>
  <rowItems count="4">
    <i>
      <x/>
    </i>
    <i>
      <x v="1"/>
    </i>
    <i>
      <x v="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ממוצע של סכום בזבוזים" fld="10" subtotal="average" baseField="6" baseItem="0"/>
  </dataFields>
  <formats count="3">
    <format dxfId="10">
      <pivotArea collapsedLevelsAreSubtotals="1" fieldPosition="0">
        <references count="1">
          <reference field="6" count="0"/>
        </references>
      </pivotArea>
    </format>
    <format dxfId="9">
      <pivotArea grandRow="1" outline="0" collapsedLevelsAreSubtotals="1" fieldPosition="0"/>
    </format>
    <format dxfId="8">
      <pivotArea collapsedLevelsAreSubtotals="1" fieldPosition="0">
        <references count="2">
          <reference field="5" count="1" selected="0">
            <x v="3"/>
          </reference>
          <reference field="6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7" type="dateBetween" evalOrder="-1" id="8" name="תאריך תחילת לימודים">
      <autoFilter ref="A1">
        <filterColumn colId="0">
          <customFilters and="1">
            <customFilter operator="greaterThanOrEqual" val="43466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תאריך_תחילת_לימודים" xr10:uid="{F8146F6D-0E38-465F-A451-8F3727DDD825}" sourceName="תאריך תחילת לימודים">
  <pivotTables>
    <pivotTable tabId="15" name="PivotTable1"/>
  </pivotTables>
  <state minimalRefreshVersion="6" lastRefreshVersion="6" pivotCacheId="2025083188" filterType="dateBetween">
    <selection startDate="2019-01-01T00:00:00" endDate="2021-12-31T00:00:00"/>
    <bounds startDate="2018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תאריך תחילת לימודים" xr10:uid="{468EEED6-7874-4AE0-8305-03ADC85AD16E}" cache="NativeTimeline_תאריך_תחילת_לימודים" caption="תאריך תחילת לימודים" level="0" selectionLevel="0" scrollPosition="2018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7707-CEE0-4971-9856-DAB606DE723B}">
  <sheetPr codeName="Sheet8"/>
  <dimension ref="B2:E23"/>
  <sheetViews>
    <sheetView showGridLines="0" rightToLeft="1" workbookViewId="0">
      <selection activeCell="B3" sqref="B3"/>
    </sheetView>
  </sheetViews>
  <sheetFormatPr defaultColWidth="9" defaultRowHeight="14.4" x14ac:dyDescent="0.3"/>
  <cols>
    <col min="1" max="1" width="9" style="37"/>
    <col min="2" max="2" width="29.6640625" style="37" bestFit="1" customWidth="1"/>
    <col min="3" max="3" width="13.44140625" style="37" bestFit="1" customWidth="1"/>
    <col min="4" max="16384" width="9" style="37"/>
  </cols>
  <sheetData>
    <row r="2" spans="2:5" ht="15" thickBot="1" x14ac:dyDescent="0.35"/>
    <row r="3" spans="2:5" ht="35.4" thickBot="1" x14ac:dyDescent="0.6">
      <c r="B3" s="38">
        <v>313116295</v>
      </c>
    </row>
    <row r="9" spans="2:5" x14ac:dyDescent="0.3">
      <c r="B9" s="39"/>
      <c r="C9" s="39"/>
      <c r="D9" s="39"/>
      <c r="E9" s="39"/>
    </row>
    <row r="10" spans="2:5" x14ac:dyDescent="0.3">
      <c r="B10" s="39">
        <v>1</v>
      </c>
      <c r="C10" s="39"/>
      <c r="D10" s="39"/>
      <c r="E10" s="39"/>
    </row>
    <row r="11" spans="2:5" x14ac:dyDescent="0.3">
      <c r="B11" s="39">
        <v>2</v>
      </c>
      <c r="C11" s="39"/>
      <c r="D11" s="39"/>
      <c r="E11" s="39"/>
    </row>
    <row r="12" spans="2:5" x14ac:dyDescent="0.3">
      <c r="B12" s="39">
        <v>3</v>
      </c>
      <c r="C12" s="39"/>
      <c r="D12" s="39"/>
      <c r="E12" s="39"/>
    </row>
    <row r="13" spans="2:5" x14ac:dyDescent="0.3">
      <c r="B13" s="39">
        <v>313116295</v>
      </c>
      <c r="C13" s="40">
        <v>44725.58055810185</v>
      </c>
      <c r="D13" s="39"/>
      <c r="E13" s="39"/>
    </row>
    <row r="14" spans="2:5" x14ac:dyDescent="0.3">
      <c r="B14" s="39"/>
      <c r="C14" s="40"/>
      <c r="D14" s="39"/>
      <c r="E14" s="39"/>
    </row>
    <row r="15" spans="2:5" x14ac:dyDescent="0.3">
      <c r="B15" s="39"/>
      <c r="C15" s="40"/>
      <c r="D15" s="39"/>
      <c r="E15" s="39"/>
    </row>
    <row r="16" spans="2:5" x14ac:dyDescent="0.3">
      <c r="B16" s="39"/>
      <c r="C16" s="40"/>
      <c r="D16" s="39"/>
      <c r="E16" s="39"/>
    </row>
    <row r="17" spans="2:5" x14ac:dyDescent="0.3">
      <c r="B17" s="39"/>
      <c r="C17" s="39"/>
      <c r="D17" s="39"/>
      <c r="E17" s="39"/>
    </row>
    <row r="18" spans="2:5" x14ac:dyDescent="0.3">
      <c r="B18" s="39"/>
      <c r="C18" s="39"/>
      <c r="D18" s="39"/>
      <c r="E18" s="39"/>
    </row>
    <row r="19" spans="2:5" x14ac:dyDescent="0.3">
      <c r="B19" s="39"/>
      <c r="C19" s="39"/>
      <c r="D19" s="39"/>
      <c r="E19" s="39"/>
    </row>
    <row r="20" spans="2:5" x14ac:dyDescent="0.3">
      <c r="B20" s="39"/>
      <c r="C20" s="39"/>
      <c r="D20" s="39"/>
      <c r="E20" s="39"/>
    </row>
    <row r="21" spans="2:5" x14ac:dyDescent="0.3">
      <c r="B21" s="39"/>
      <c r="C21" s="39"/>
      <c r="D21" s="39"/>
      <c r="E21" s="39"/>
    </row>
    <row r="22" spans="2:5" x14ac:dyDescent="0.3">
      <c r="B22" s="39"/>
      <c r="C22" s="39"/>
      <c r="D22" s="39"/>
      <c r="E22" s="39"/>
    </row>
    <row r="23" spans="2:5" x14ac:dyDescent="0.3">
      <c r="B23" s="39"/>
      <c r="C23" s="39"/>
      <c r="D23" s="39"/>
      <c r="E23" s="3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est13062022">
                <anchor moveWithCells="1" sizeWithCells="1">
                  <from>
                    <xdr:col>0</xdr:col>
                    <xdr:colOff>480060</xdr:colOff>
                    <xdr:row>4</xdr:row>
                    <xdr:rowOff>22860</xdr:rowOff>
                  </from>
                  <to>
                    <xdr:col>2</xdr:col>
                    <xdr:colOff>220980</xdr:colOff>
                    <xdr:row>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1D6F7-92AC-42A8-97AE-F90332E4594D}">
  <sheetPr codeName="Sheet1"/>
  <dimension ref="A1:AB111"/>
  <sheetViews>
    <sheetView rightToLeft="1" tabSelected="1" topLeftCell="D34" zoomScale="85" zoomScaleNormal="85" workbookViewId="0">
      <selection activeCell="X39" sqref="X39:Z39"/>
    </sheetView>
  </sheetViews>
  <sheetFormatPr defaultColWidth="8.6640625" defaultRowHeight="15.6" x14ac:dyDescent="0.3"/>
  <cols>
    <col min="1" max="1" width="9.6640625" style="10" customWidth="1"/>
    <col min="2" max="2" width="10.33203125" style="10" customWidth="1"/>
    <col min="3" max="3" width="8.109375" style="10" customWidth="1"/>
    <col min="4" max="4" width="13.44140625" style="15" customWidth="1"/>
    <col min="5" max="5" width="11.33203125" style="15" customWidth="1"/>
    <col min="6" max="6" width="11.109375" style="10" customWidth="1"/>
    <col min="7" max="7" width="11.44140625" style="10" customWidth="1"/>
    <col min="8" max="8" width="13.44140625" style="10" customWidth="1"/>
    <col min="9" max="9" width="11.5546875" style="10" customWidth="1"/>
    <col min="10" max="10" width="12.6640625" style="10" customWidth="1"/>
    <col min="11" max="11" width="10.44140625" style="10" customWidth="1"/>
    <col min="12" max="12" width="12.6640625" style="10" bestFit="1" customWidth="1"/>
    <col min="13" max="13" width="12.44140625" style="10" bestFit="1" customWidth="1"/>
    <col min="14" max="14" width="6.88671875" style="10" bestFit="1" customWidth="1"/>
    <col min="15" max="15" width="9.5546875" style="10" bestFit="1" customWidth="1"/>
    <col min="16" max="16" width="8.6640625" style="10" customWidth="1"/>
    <col min="17" max="17" width="9.5546875" style="10" bestFit="1" customWidth="1"/>
    <col min="18" max="18" width="8.6640625" style="1" customWidth="1"/>
    <col min="19" max="19" width="12.44140625" style="1" bestFit="1" customWidth="1"/>
    <col min="20" max="20" width="11.6640625" style="1" bestFit="1" customWidth="1"/>
    <col min="21" max="21" width="11.88671875" style="1" bestFit="1" customWidth="1"/>
    <col min="22" max="24" width="8.6640625" style="1"/>
    <col min="25" max="25" width="6.5546875" style="1" bestFit="1" customWidth="1"/>
    <col min="26" max="26" width="9.5546875" style="1" bestFit="1" customWidth="1"/>
    <col min="27" max="16384" width="8.6640625" style="1"/>
  </cols>
  <sheetData>
    <row r="1" spans="1:21" x14ac:dyDescent="0.3">
      <c r="A1" s="41" t="s">
        <v>237</v>
      </c>
      <c r="B1" s="41">
        <f>ID_NUM</f>
        <v>313116295</v>
      </c>
      <c r="E1" s="46"/>
      <c r="F1" s="47" t="s">
        <v>239</v>
      </c>
    </row>
    <row r="2" spans="1:21" ht="46.8" x14ac:dyDescent="0.3">
      <c r="A2" s="9" t="s">
        <v>0</v>
      </c>
      <c r="B2" s="9" t="s">
        <v>1</v>
      </c>
      <c r="C2" s="9" t="s">
        <v>2</v>
      </c>
      <c r="D2" s="9" t="s">
        <v>114</v>
      </c>
      <c r="E2" s="9" t="s">
        <v>115</v>
      </c>
      <c r="F2" s="9" t="s">
        <v>3</v>
      </c>
      <c r="G2" s="9" t="s">
        <v>116</v>
      </c>
      <c r="H2" s="9" t="s">
        <v>120</v>
      </c>
      <c r="I2" s="9" t="s">
        <v>199</v>
      </c>
      <c r="J2" s="9" t="s">
        <v>200</v>
      </c>
      <c r="K2" s="9" t="s">
        <v>227</v>
      </c>
      <c r="L2" s="22" t="s">
        <v>197</v>
      </c>
      <c r="M2" s="22" t="s">
        <v>198</v>
      </c>
      <c r="N2" s="22" t="s">
        <v>205</v>
      </c>
      <c r="O2" s="22" t="s">
        <v>201</v>
      </c>
      <c r="P2" s="22" t="s">
        <v>225</v>
      </c>
      <c r="Q2" s="22" t="s">
        <v>226</v>
      </c>
      <c r="R2" s="22" t="s">
        <v>228</v>
      </c>
      <c r="S2" s="1" t="s">
        <v>240</v>
      </c>
      <c r="T2" s="1" t="s">
        <v>242</v>
      </c>
      <c r="U2" s="1" t="s">
        <v>151</v>
      </c>
    </row>
    <row r="3" spans="1:21" x14ac:dyDescent="0.3">
      <c r="A3" s="11">
        <v>340163</v>
      </c>
      <c r="B3" s="11" t="s">
        <v>11</v>
      </c>
      <c r="C3" s="11" t="s">
        <v>57</v>
      </c>
      <c r="D3" s="13">
        <v>36475</v>
      </c>
      <c r="E3" s="12" t="s">
        <v>210</v>
      </c>
      <c r="F3" s="13" t="s">
        <v>203</v>
      </c>
      <c r="G3" s="13" t="s">
        <v>119</v>
      </c>
      <c r="H3" s="13">
        <v>44122</v>
      </c>
      <c r="I3" s="14">
        <v>0.88841035822855252</v>
      </c>
      <c r="J3" s="21">
        <v>4.9066019910841918E-2</v>
      </c>
      <c r="K3" s="16">
        <v>252</v>
      </c>
      <c r="L3" s="20" t="str">
        <f>_xlfn.CONCAT(B3," ",C3)</f>
        <v>כהן תמר</v>
      </c>
      <c r="M3" s="49">
        <f ca="1">IF(S3&gt;TODAY(),S3,EDATE(S3,12))</f>
        <v>44876</v>
      </c>
      <c r="N3" s="50" cm="1">
        <f t="array" ref="N3">_xlfn.XLOOKUP(F3,Tickets!$B$4:$B$7,_xlfn.XLOOKUP(Students!G3,Tickets!$C$3:$E$3,Tickets!$C$4:$E$7,,0),,0)</f>
        <v>110</v>
      </c>
      <c r="O3" s="51">
        <f>IF(I3&gt;J3,1-I3+J3,J3-I3)</f>
        <v>0.1606556616822894</v>
      </c>
      <c r="P3" s="20">
        <f>_xlfn.XLOOKUP($E3,Tickets!$E$12:$E$20,Tickets!C$12:C$20,,0)</f>
        <v>19.899999999999999</v>
      </c>
      <c r="Q3" s="51">
        <f>_xlfn.XLOOKUP($E3,Tickets!$E$12:$E$20,Tickets!D$12:D$20,,0)</f>
        <v>1.9444444444444445E-2</v>
      </c>
      <c r="R3" s="50" cm="1">
        <f t="array" aca="1" ref="R3" ca="1">_xlfn.IFS(AND(U3&lt;=$Y$61,T3&lt;=$Z$61),$AA$61*_xlfn.XLOOKUP(F3,Tickets!$B$4:$B$7,Tickets!$E$4:$E$7,,0),OR(Students!T3&lt;=Students!$Z$62,Students!U3&gt;Students!$Y$63),Students!$AA$62*_xlfn.XLOOKUP(F3,Tickets!$B$4:$B$7,Tickets!$C$4:$C$7,,0),TRUE,0)</f>
        <v>180</v>
      </c>
      <c r="S3" s="48">
        <f ca="1">DATE(YEAR(TODAY()),MONTH(D3),DAY(D3))</f>
        <v>44876</v>
      </c>
      <c r="T3" s="45">
        <f ca="1">DATEDIF(H3,TODAY(),"M")/12</f>
        <v>1.5833333333333333</v>
      </c>
      <c r="U3" s="52">
        <f ca="1">DATEDIF(D3,TODAY(),"M")/12</f>
        <v>22.583333333333332</v>
      </c>
    </row>
    <row r="4" spans="1:21" x14ac:dyDescent="0.3">
      <c r="A4" s="11">
        <v>497953</v>
      </c>
      <c r="B4" s="11" t="s">
        <v>35</v>
      </c>
      <c r="C4" s="11" t="s">
        <v>90</v>
      </c>
      <c r="D4" s="13">
        <v>36112</v>
      </c>
      <c r="E4" s="12" t="s">
        <v>207</v>
      </c>
      <c r="F4" s="13" t="s">
        <v>204</v>
      </c>
      <c r="G4" s="13" t="s">
        <v>117</v>
      </c>
      <c r="H4" s="13">
        <v>44479</v>
      </c>
      <c r="I4" s="14">
        <v>0.77119255857780589</v>
      </c>
      <c r="J4" s="21">
        <v>0.87344167026793207</v>
      </c>
      <c r="K4" s="16">
        <v>376</v>
      </c>
      <c r="L4" s="20" t="str">
        <f t="shared" ref="L4:L67" si="0">_xlfn.CONCAT(B4," ",C4)</f>
        <v>אלוני אורנה</v>
      </c>
      <c r="M4" s="49">
        <f t="shared" ref="M4:M67" ca="1" si="1">IF(S4&gt;TODAY(),S4,EDATE(S4,12))</f>
        <v>44878</v>
      </c>
      <c r="N4" s="50" cm="1">
        <f t="array" ref="N4">_xlfn.XLOOKUP(F4,Tickets!$B$4:$B$7,_xlfn.XLOOKUP(Students!G4,Tickets!$C$3:$E$3,Tickets!$C$4:$E$7,,0),,0)</f>
        <v>70</v>
      </c>
      <c r="O4" s="51">
        <f t="shared" ref="O4:O67" si="2">IF(I4&gt;J4,1-I4+J4,J4-I4)</f>
        <v>0.10224911169012618</v>
      </c>
      <c r="P4" s="20">
        <f>_xlfn.XLOOKUP($E4,Tickets!$E$12:$E$20,Tickets!C$12:C$20,,0)</f>
        <v>31.7</v>
      </c>
      <c r="Q4" s="51">
        <f>_xlfn.XLOOKUP($E4,Tickets!$E$12:$E$20,Tickets!D$12:D$20,,0)</f>
        <v>2.013888888888889E-2</v>
      </c>
      <c r="R4" s="50" cm="1">
        <f t="array" aca="1" ref="R4" ca="1">_xlfn.IFS(AND(U4&lt;=$Y$61,T4&lt;=$Z$61),$AA$61*_xlfn.XLOOKUP(F4,Tickets!$B$4:$B$7,Tickets!$E$4:$E$7,,0),OR(Students!T4&lt;=Students!$Z$62,Students!U4&gt;Students!$Y$63),Students!$AA$62*_xlfn.XLOOKUP(F4,Tickets!$B$4:$B$7,Tickets!$C$4:$C$7,,0),TRUE,0)</f>
        <v>200</v>
      </c>
      <c r="S4" s="48">
        <f t="shared" ref="S4:S67" ca="1" si="3">DATE(YEAR(TODAY()),MONTH(D4),DAY(D4))</f>
        <v>44878</v>
      </c>
      <c r="T4" s="45">
        <f t="shared" ref="T4:T67" ca="1" si="4">DATEDIF(H4,TODAY(),"M")/12</f>
        <v>0.66666666666666663</v>
      </c>
      <c r="U4" s="52">
        <f t="shared" ref="U4:U67" ca="1" si="5">DATEDIF(D4,TODAY(),"M")/12</f>
        <v>23.583333333333332</v>
      </c>
    </row>
    <row r="5" spans="1:21" x14ac:dyDescent="0.3">
      <c r="A5" s="11">
        <v>873084</v>
      </c>
      <c r="B5" s="11" t="s">
        <v>4</v>
      </c>
      <c r="C5" s="11" t="s">
        <v>58</v>
      </c>
      <c r="D5" s="13">
        <v>35074</v>
      </c>
      <c r="E5" s="12" t="s">
        <v>210</v>
      </c>
      <c r="F5" s="13" t="s">
        <v>202</v>
      </c>
      <c r="G5" s="13" t="s">
        <v>117</v>
      </c>
      <c r="H5" s="13">
        <v>43765</v>
      </c>
      <c r="I5" s="14">
        <v>0.83229338400418151</v>
      </c>
      <c r="J5" s="21">
        <v>0.91584724809290163</v>
      </c>
      <c r="K5" s="16">
        <v>121</v>
      </c>
      <c r="L5" s="20" t="str">
        <f t="shared" si="0"/>
        <v>לוי זאב</v>
      </c>
      <c r="M5" s="49">
        <f t="shared" ca="1" si="1"/>
        <v>44936</v>
      </c>
      <c r="N5" s="50" cm="1">
        <f t="array" ref="N5">_xlfn.XLOOKUP(F5,Tickets!$B$4:$B$7,_xlfn.XLOOKUP(Students!G5,Tickets!$C$3:$E$3,Tickets!$C$4:$E$7,,0),,0)</f>
        <v>50</v>
      </c>
      <c r="O5" s="51">
        <f t="shared" si="2"/>
        <v>8.355386408872012E-2</v>
      </c>
      <c r="P5" s="20">
        <f>_xlfn.XLOOKUP($E5,Tickets!$E$12:$E$20,Tickets!C$12:C$20,,0)</f>
        <v>19.899999999999999</v>
      </c>
      <c r="Q5" s="51">
        <f>_xlfn.XLOOKUP($E5,Tickets!$E$12:$E$20,Tickets!D$12:D$20,,0)</f>
        <v>1.9444444444444445E-2</v>
      </c>
      <c r="R5" s="50" cm="1">
        <f t="array" aca="1" ref="R5" ca="1">_xlfn.IFS(AND(U5&lt;=$Y$61,T5&lt;=$Z$61),$AA$61*_xlfn.XLOOKUP(F5,Tickets!$B$4:$B$7,Tickets!$E$4:$E$7,,0),OR(Students!T5&lt;=Students!$Z$62,Students!U5&gt;Students!$Y$63),Students!$AA$62*_xlfn.XLOOKUP(F5,Tickets!$B$4:$B$7,Tickets!$C$4:$C$7,,0),TRUE,0)</f>
        <v>150</v>
      </c>
      <c r="S5" s="48">
        <f t="shared" ca="1" si="3"/>
        <v>44571</v>
      </c>
      <c r="T5" s="45">
        <f t="shared" ca="1" si="4"/>
        <v>2.5833333333333335</v>
      </c>
      <c r="U5" s="52">
        <f t="shared" ca="1" si="5"/>
        <v>26.416666666666668</v>
      </c>
    </row>
    <row r="6" spans="1:21" x14ac:dyDescent="0.3">
      <c r="A6" s="11">
        <v>375572</v>
      </c>
      <c r="B6" s="11" t="s">
        <v>29</v>
      </c>
      <c r="C6" s="11" t="s">
        <v>82</v>
      </c>
      <c r="D6" s="13">
        <v>35737</v>
      </c>
      <c r="E6" s="12" t="s">
        <v>203</v>
      </c>
      <c r="F6" s="13" t="s">
        <v>204</v>
      </c>
      <c r="G6" s="13" t="s">
        <v>119</v>
      </c>
      <c r="H6" s="13">
        <v>44122</v>
      </c>
      <c r="I6" s="14">
        <v>0.90680418829711318</v>
      </c>
      <c r="J6" s="21">
        <v>1.8952489778701898E-2</v>
      </c>
      <c r="K6" s="16">
        <v>412</v>
      </c>
      <c r="L6" s="20" t="str">
        <f t="shared" si="0"/>
        <v>גבעעוני אלעד</v>
      </c>
      <c r="M6" s="49">
        <f t="shared" ca="1" si="1"/>
        <v>44868</v>
      </c>
      <c r="N6" s="50" cm="1">
        <f t="array" ref="N6">_xlfn.XLOOKUP(F6,Tickets!$B$4:$B$7,_xlfn.XLOOKUP(Students!G6,Tickets!$C$3:$E$3,Tickets!$C$4:$E$7,,0),,0)</f>
        <v>100</v>
      </c>
      <c r="O6" s="51">
        <f t="shared" si="2"/>
        <v>0.11214830148158872</v>
      </c>
      <c r="P6" s="20">
        <f>_xlfn.XLOOKUP($E6,Tickets!$E$12:$E$20,Tickets!C$12:C$20,,0)</f>
        <v>25.4</v>
      </c>
      <c r="Q6" s="51">
        <f>_xlfn.XLOOKUP($E6,Tickets!$E$12:$E$20,Tickets!D$12:D$20,,0)</f>
        <v>2.7083333333333334E-2</v>
      </c>
      <c r="R6" s="50" cm="1">
        <f t="array" aca="1" ref="R6" ca="1">_xlfn.IFS(AND(U6&lt;=$Y$61,T6&lt;=$Z$61),$AA$61*_xlfn.XLOOKUP(F6,Tickets!$B$4:$B$7,Tickets!$E$4:$E$7,,0),OR(Students!T6&lt;=Students!$Z$62,Students!U6&gt;Students!$Y$63),Students!$AA$62*_xlfn.XLOOKUP(F6,Tickets!$B$4:$B$7,Tickets!$C$4:$C$7,,0),TRUE,0)</f>
        <v>210</v>
      </c>
      <c r="S6" s="48">
        <f t="shared" ca="1" si="3"/>
        <v>44868</v>
      </c>
      <c r="T6" s="45">
        <f t="shared" ca="1" si="4"/>
        <v>1.5833333333333333</v>
      </c>
      <c r="U6" s="52">
        <f t="shared" ca="1" si="5"/>
        <v>24.583333333333332</v>
      </c>
    </row>
    <row r="7" spans="1:21" x14ac:dyDescent="0.3">
      <c r="A7" s="11">
        <v>428981</v>
      </c>
      <c r="B7" s="11" t="s">
        <v>41</v>
      </c>
      <c r="C7" s="11" t="s">
        <v>96</v>
      </c>
      <c r="D7" s="13">
        <v>35732</v>
      </c>
      <c r="E7" s="12" t="s">
        <v>208</v>
      </c>
      <c r="F7" s="13" t="s">
        <v>202</v>
      </c>
      <c r="G7" s="13" t="s">
        <v>118</v>
      </c>
      <c r="H7" s="13">
        <v>44122</v>
      </c>
      <c r="I7" s="14">
        <v>0.88579712616008144</v>
      </c>
      <c r="J7" s="21">
        <v>0.93768294880563685</v>
      </c>
      <c r="K7" s="16">
        <v>51</v>
      </c>
      <c r="L7" s="20" t="str">
        <f t="shared" si="0"/>
        <v>חרסונסקי עדי</v>
      </c>
      <c r="M7" s="49">
        <f t="shared" ca="1" si="1"/>
        <v>44863</v>
      </c>
      <c r="N7" s="50" cm="1">
        <f t="array" ref="N7">_xlfn.XLOOKUP(F7,Tickets!$B$4:$B$7,_xlfn.XLOOKUP(Students!G7,Tickets!$C$3:$E$3,Tickets!$C$4:$E$7,,0),,0)</f>
        <v>70</v>
      </c>
      <c r="O7" s="51">
        <f t="shared" si="2"/>
        <v>5.1885822645555413E-2</v>
      </c>
      <c r="P7" s="20">
        <f>_xlfn.XLOOKUP($E7,Tickets!$E$12:$E$20,Tickets!C$12:C$20,,0)</f>
        <v>29.7</v>
      </c>
      <c r="Q7" s="51">
        <f>_xlfn.XLOOKUP($E7,Tickets!$E$12:$E$20,Tickets!D$12:D$20,,0)</f>
        <v>1.8749999999999999E-2</v>
      </c>
      <c r="R7" s="50" cm="1">
        <f t="array" aca="1" ref="R7" ca="1">_xlfn.IFS(AND(U7&lt;=$Y$61,T7&lt;=$Z$61),$AA$61*_xlfn.XLOOKUP(F7,Tickets!$B$4:$B$7,Tickets!$E$4:$E$7,,0),OR(Students!T7&lt;=Students!$Z$62,Students!U7&gt;Students!$Y$63),Students!$AA$62*_xlfn.XLOOKUP(F7,Tickets!$B$4:$B$7,Tickets!$C$4:$C$7,,0),TRUE,0)</f>
        <v>150</v>
      </c>
      <c r="S7" s="48">
        <f t="shared" ca="1" si="3"/>
        <v>44863</v>
      </c>
      <c r="T7" s="45">
        <f t="shared" ca="1" si="4"/>
        <v>1.5833333333333333</v>
      </c>
      <c r="U7" s="52">
        <f t="shared" ca="1" si="5"/>
        <v>24.583333333333332</v>
      </c>
    </row>
    <row r="8" spans="1:21" x14ac:dyDescent="0.3">
      <c r="A8" s="11">
        <v>703924</v>
      </c>
      <c r="B8" s="11" t="s">
        <v>52</v>
      </c>
      <c r="C8" s="11" t="s">
        <v>107</v>
      </c>
      <c r="D8" s="13">
        <v>34852</v>
      </c>
      <c r="E8" s="12" t="s">
        <v>208</v>
      </c>
      <c r="F8" s="13" t="s">
        <v>196</v>
      </c>
      <c r="G8" s="13" t="s">
        <v>118</v>
      </c>
      <c r="H8" s="13">
        <v>43765</v>
      </c>
      <c r="I8" s="14">
        <v>0.75255258758615273</v>
      </c>
      <c r="J8" s="21">
        <v>0.86959310170871629</v>
      </c>
      <c r="K8" s="16">
        <v>243</v>
      </c>
      <c r="L8" s="20" t="str">
        <f t="shared" si="0"/>
        <v>שמעוני בתיה</v>
      </c>
      <c r="M8" s="49">
        <f t="shared" ca="1" si="1"/>
        <v>45079</v>
      </c>
      <c r="N8" s="50" cm="1">
        <f t="array" ref="N8">_xlfn.XLOOKUP(F8,Tickets!$B$4:$B$7,_xlfn.XLOOKUP(Students!G8,Tickets!$C$3:$E$3,Tickets!$C$4:$E$7,,0),,0)</f>
        <v>60</v>
      </c>
      <c r="O8" s="51">
        <f t="shared" si="2"/>
        <v>0.11704051412256355</v>
      </c>
      <c r="P8" s="20">
        <f>_xlfn.XLOOKUP($E8,Tickets!$E$12:$E$20,Tickets!C$12:C$20,,0)</f>
        <v>29.7</v>
      </c>
      <c r="Q8" s="51">
        <f>_xlfn.XLOOKUP($E8,Tickets!$E$12:$E$20,Tickets!D$12:D$20,,0)</f>
        <v>1.8749999999999999E-2</v>
      </c>
      <c r="R8" s="50" cm="1">
        <f t="array" aca="1" ref="R8" ca="1">_xlfn.IFS(AND(U8&lt;=$Y$61,T8&lt;=$Z$61),$AA$61*_xlfn.XLOOKUP(F8,Tickets!$B$4:$B$7,Tickets!$E$4:$E$7,,0),OR(Students!T8&lt;=Students!$Z$62,Students!U8&gt;Students!$Y$63),Students!$AA$62*_xlfn.XLOOKUP(F8,Tickets!$B$4:$B$7,Tickets!$C$4:$C$7,,0),TRUE,0)</f>
        <v>120</v>
      </c>
      <c r="S8" s="48">
        <f t="shared" ca="1" si="3"/>
        <v>44714</v>
      </c>
      <c r="T8" s="45">
        <f t="shared" ca="1" si="4"/>
        <v>2.5833333333333335</v>
      </c>
      <c r="U8" s="52">
        <f t="shared" ca="1" si="5"/>
        <v>27</v>
      </c>
    </row>
    <row r="9" spans="1:21" x14ac:dyDescent="0.3">
      <c r="A9" s="11">
        <v>216644</v>
      </c>
      <c r="B9" s="11" t="s">
        <v>7</v>
      </c>
      <c r="C9" s="11" t="s">
        <v>61</v>
      </c>
      <c r="D9" s="13">
        <v>35760</v>
      </c>
      <c r="E9" s="12" t="s">
        <v>209</v>
      </c>
      <c r="F9" s="13" t="s">
        <v>196</v>
      </c>
      <c r="G9" s="13" t="s">
        <v>118</v>
      </c>
      <c r="H9" s="13">
        <v>43387</v>
      </c>
      <c r="I9" s="14">
        <v>0.87859795131842833</v>
      </c>
      <c r="J9" s="21">
        <v>0.92130809085006082</v>
      </c>
      <c r="K9" s="16">
        <v>303</v>
      </c>
      <c r="L9" s="20" t="str">
        <f t="shared" si="0"/>
        <v>לב יותם</v>
      </c>
      <c r="M9" s="49">
        <f t="shared" ca="1" si="1"/>
        <v>44891</v>
      </c>
      <c r="N9" s="50" cm="1">
        <f t="array" ref="N9">_xlfn.XLOOKUP(F9,Tickets!$B$4:$B$7,_xlfn.XLOOKUP(Students!G9,Tickets!$C$3:$E$3,Tickets!$C$4:$E$7,,0),,0)</f>
        <v>60</v>
      </c>
      <c r="O9" s="51">
        <f t="shared" si="2"/>
        <v>4.2710139531632496E-2</v>
      </c>
      <c r="P9" s="20">
        <f>_xlfn.XLOOKUP($E9,Tickets!$E$12:$E$20,Tickets!C$12:C$20,,0)</f>
        <v>3.3</v>
      </c>
      <c r="Q9" s="51">
        <f>_xlfn.XLOOKUP($E9,Tickets!$E$12:$E$20,Tickets!D$12:D$20,,0)</f>
        <v>5.5555555555555558E-3</v>
      </c>
      <c r="R9" s="50" cm="1">
        <f t="array" aca="1" ref="R9" ca="1">_xlfn.IFS(AND(U9&lt;=$Y$61,T9&lt;=$Z$61),$AA$61*_xlfn.XLOOKUP(F9,Tickets!$B$4:$B$7,Tickets!$E$4:$E$7,,0),OR(Students!T9&lt;=Students!$Z$62,Students!U9&gt;Students!$Y$63),Students!$AA$62*_xlfn.XLOOKUP(F9,Tickets!$B$4:$B$7,Tickets!$C$4:$C$7,,0),TRUE,0)</f>
        <v>0</v>
      </c>
      <c r="S9" s="48">
        <f t="shared" ca="1" si="3"/>
        <v>44891</v>
      </c>
      <c r="T9" s="45">
        <f t="shared" ca="1" si="4"/>
        <v>3.5833333333333335</v>
      </c>
      <c r="U9" s="52">
        <f t="shared" ca="1" si="5"/>
        <v>24.5</v>
      </c>
    </row>
    <row r="10" spans="1:21" x14ac:dyDescent="0.3">
      <c r="A10" s="11">
        <v>374359</v>
      </c>
      <c r="B10" s="11" t="s">
        <v>20</v>
      </c>
      <c r="C10" s="11" t="s">
        <v>73</v>
      </c>
      <c r="D10" s="13">
        <v>36351</v>
      </c>
      <c r="E10" s="12" t="s">
        <v>206</v>
      </c>
      <c r="F10" s="13" t="s">
        <v>196</v>
      </c>
      <c r="G10" s="13" t="s">
        <v>117</v>
      </c>
      <c r="H10" s="13">
        <v>43387</v>
      </c>
      <c r="I10" s="14">
        <v>0.9114330656940719</v>
      </c>
      <c r="J10" s="21">
        <v>0.98583598741102541</v>
      </c>
      <c r="K10" s="16">
        <v>452</v>
      </c>
      <c r="L10" s="20" t="str">
        <f t="shared" si="0"/>
        <v>ברכה איתן</v>
      </c>
      <c r="M10" s="49">
        <f t="shared" ca="1" si="1"/>
        <v>44752</v>
      </c>
      <c r="N10" s="50" cm="1">
        <f t="array" ref="N10">_xlfn.XLOOKUP(F10,Tickets!$B$4:$B$7,_xlfn.XLOOKUP(Students!G10,Tickets!$C$3:$E$3,Tickets!$C$4:$E$7,,0),,0)</f>
        <v>40</v>
      </c>
      <c r="O10" s="51">
        <f t="shared" si="2"/>
        <v>7.4402921716953507E-2</v>
      </c>
      <c r="P10" s="20">
        <f>_xlfn.XLOOKUP($E10,Tickets!$E$12:$E$20,Tickets!C$12:C$20,,0)</f>
        <v>19.100000000000001</v>
      </c>
      <c r="Q10" s="51">
        <f>_xlfn.XLOOKUP($E10,Tickets!$E$12:$E$20,Tickets!D$12:D$20,,0)</f>
        <v>1.8055555555555557E-2</v>
      </c>
      <c r="R10" s="50" cm="1">
        <f t="array" aca="1" ref="R10" ca="1">_xlfn.IFS(AND(U10&lt;=$Y$61,T10&lt;=$Z$61),$AA$61*_xlfn.XLOOKUP(F10,Tickets!$B$4:$B$7,Tickets!$E$4:$E$7,,0),OR(Students!T10&lt;=Students!$Z$62,Students!U10&gt;Students!$Y$63),Students!$AA$62*_xlfn.XLOOKUP(F10,Tickets!$B$4:$B$7,Tickets!$C$4:$C$7,,0),TRUE,0)</f>
        <v>0</v>
      </c>
      <c r="S10" s="48">
        <f t="shared" ca="1" si="3"/>
        <v>44752</v>
      </c>
      <c r="T10" s="45">
        <f t="shared" ca="1" si="4"/>
        <v>3.5833333333333335</v>
      </c>
      <c r="U10" s="52">
        <f t="shared" ca="1" si="5"/>
        <v>22.916666666666668</v>
      </c>
    </row>
    <row r="11" spans="1:21" x14ac:dyDescent="0.3">
      <c r="A11" s="11">
        <v>371338</v>
      </c>
      <c r="B11" s="11" t="s">
        <v>26</v>
      </c>
      <c r="C11" s="11" t="s">
        <v>79</v>
      </c>
      <c r="D11" s="13">
        <v>35805</v>
      </c>
      <c r="E11" s="12" t="s">
        <v>213</v>
      </c>
      <c r="F11" s="13" t="s">
        <v>203</v>
      </c>
      <c r="G11" s="13" t="s">
        <v>117</v>
      </c>
      <c r="H11" s="13">
        <v>43765</v>
      </c>
      <c r="I11" s="14">
        <v>0.96819629973955657</v>
      </c>
      <c r="J11" s="21">
        <v>2.4543306255933262E-2</v>
      </c>
      <c r="K11" s="16">
        <v>96</v>
      </c>
      <c r="L11" s="20" t="str">
        <f t="shared" si="0"/>
        <v>פיורסקי מאיה</v>
      </c>
      <c r="M11" s="49">
        <f t="shared" ca="1" si="1"/>
        <v>44936</v>
      </c>
      <c r="N11" s="50" cm="1">
        <f t="array" ref="N11">_xlfn.XLOOKUP(F11,Tickets!$B$4:$B$7,_xlfn.XLOOKUP(Students!G11,Tickets!$C$3:$E$3,Tickets!$C$4:$E$7,,0),,0)</f>
        <v>60</v>
      </c>
      <c r="O11" s="51">
        <f t="shared" si="2"/>
        <v>5.6347006516376696E-2</v>
      </c>
      <c r="P11" s="20">
        <f>_xlfn.XLOOKUP($E11,Tickets!$E$12:$E$20,Tickets!C$12:C$20,,0)</f>
        <v>16.8</v>
      </c>
      <c r="Q11" s="51">
        <f>_xlfn.XLOOKUP($E11,Tickets!$E$12:$E$20,Tickets!D$12:D$20,,0)</f>
        <v>1.5277777777777777E-2</v>
      </c>
      <c r="R11" s="50" cm="1">
        <f t="array" aca="1" ref="R11" ca="1">_xlfn.IFS(AND(U11&lt;=$Y$61,T11&lt;=$Z$61),$AA$61*_xlfn.XLOOKUP(F11,Tickets!$B$4:$B$7,Tickets!$E$4:$E$7,,0),OR(Students!T11&lt;=Students!$Z$62,Students!U11&gt;Students!$Y$63),Students!$AA$62*_xlfn.XLOOKUP(F11,Tickets!$B$4:$B$7,Tickets!$C$4:$C$7,,0),TRUE,0)</f>
        <v>0</v>
      </c>
      <c r="S11" s="48">
        <f t="shared" ca="1" si="3"/>
        <v>44571</v>
      </c>
      <c r="T11" s="45">
        <f t="shared" ca="1" si="4"/>
        <v>2.5833333333333335</v>
      </c>
      <c r="U11" s="52">
        <f t="shared" ca="1" si="5"/>
        <v>24.416666666666668</v>
      </c>
    </row>
    <row r="12" spans="1:21" x14ac:dyDescent="0.3">
      <c r="A12" s="11">
        <v>468022</v>
      </c>
      <c r="B12" s="11" t="s">
        <v>46</v>
      </c>
      <c r="C12" s="11" t="s">
        <v>101</v>
      </c>
      <c r="D12" s="13">
        <v>35165</v>
      </c>
      <c r="E12" s="12" t="s">
        <v>206</v>
      </c>
      <c r="F12" s="13" t="s">
        <v>202</v>
      </c>
      <c r="G12" s="13" t="s">
        <v>119</v>
      </c>
      <c r="H12" s="13">
        <v>43765</v>
      </c>
      <c r="I12" s="14">
        <v>0.85679886783329362</v>
      </c>
      <c r="J12" s="21">
        <v>0.98592828207795491</v>
      </c>
      <c r="K12" s="16">
        <v>352</v>
      </c>
      <c r="L12" s="20" t="str">
        <f t="shared" si="0"/>
        <v>קוריאט לאה</v>
      </c>
      <c r="M12" s="49">
        <f t="shared" ca="1" si="1"/>
        <v>45026</v>
      </c>
      <c r="N12" s="50" cm="1">
        <f t="array" ref="N12">_xlfn.XLOOKUP(F12,Tickets!$B$4:$B$7,_xlfn.XLOOKUP(Students!G12,Tickets!$C$3:$E$3,Tickets!$C$4:$E$7,,0),,0)</f>
        <v>120</v>
      </c>
      <c r="O12" s="51">
        <f t="shared" si="2"/>
        <v>0.12912941424466129</v>
      </c>
      <c r="P12" s="20">
        <f>_xlfn.XLOOKUP($E12,Tickets!$E$12:$E$20,Tickets!C$12:C$20,,0)</f>
        <v>19.100000000000001</v>
      </c>
      <c r="Q12" s="51">
        <f>_xlfn.XLOOKUP($E12,Tickets!$E$12:$E$20,Tickets!D$12:D$20,,0)</f>
        <v>1.8055555555555557E-2</v>
      </c>
      <c r="R12" s="50" cm="1">
        <f t="array" aca="1" ref="R12" ca="1">_xlfn.IFS(AND(U12&lt;=$Y$61,T12&lt;=$Z$61),$AA$61*_xlfn.XLOOKUP(F12,Tickets!$B$4:$B$7,Tickets!$E$4:$E$7,,0),OR(Students!T12&lt;=Students!$Z$62,Students!U12&gt;Students!$Y$63),Students!$AA$62*_xlfn.XLOOKUP(F12,Tickets!$B$4:$B$7,Tickets!$C$4:$C$7,,0),TRUE,0)</f>
        <v>150</v>
      </c>
      <c r="S12" s="48">
        <f t="shared" ca="1" si="3"/>
        <v>44661</v>
      </c>
      <c r="T12" s="45">
        <f t="shared" ca="1" si="4"/>
        <v>2.5833333333333335</v>
      </c>
      <c r="U12" s="52">
        <f t="shared" ca="1" si="5"/>
        <v>26.166666666666668</v>
      </c>
    </row>
    <row r="13" spans="1:21" x14ac:dyDescent="0.3">
      <c r="A13" s="11">
        <v>498147</v>
      </c>
      <c r="B13" s="11" t="s">
        <v>5</v>
      </c>
      <c r="C13" s="11" t="s">
        <v>59</v>
      </c>
      <c r="D13" s="13">
        <v>35122</v>
      </c>
      <c r="E13" s="12" t="s">
        <v>207</v>
      </c>
      <c r="F13" s="13" t="s">
        <v>202</v>
      </c>
      <c r="G13" s="13" t="s">
        <v>118</v>
      </c>
      <c r="H13" s="13">
        <v>44479</v>
      </c>
      <c r="I13" s="14">
        <v>0.9612747489042015</v>
      </c>
      <c r="J13" s="21">
        <v>0.12222598214819036</v>
      </c>
      <c r="K13" s="16">
        <v>249</v>
      </c>
      <c r="L13" s="20" t="str">
        <f t="shared" si="0"/>
        <v>יצהר ענת</v>
      </c>
      <c r="M13" s="49">
        <f t="shared" ca="1" si="1"/>
        <v>44984</v>
      </c>
      <c r="N13" s="50" cm="1">
        <f t="array" ref="N13">_xlfn.XLOOKUP(F13,Tickets!$B$4:$B$7,_xlfn.XLOOKUP(Students!G13,Tickets!$C$3:$E$3,Tickets!$C$4:$E$7,,0),,0)</f>
        <v>70</v>
      </c>
      <c r="O13" s="51">
        <f t="shared" si="2"/>
        <v>0.16095123324398886</v>
      </c>
      <c r="P13" s="20">
        <f>_xlfn.XLOOKUP($E13,Tickets!$E$12:$E$20,Tickets!C$12:C$20,,0)</f>
        <v>31.7</v>
      </c>
      <c r="Q13" s="51">
        <f>_xlfn.XLOOKUP($E13,Tickets!$E$12:$E$20,Tickets!D$12:D$20,,0)</f>
        <v>2.013888888888889E-2</v>
      </c>
      <c r="R13" s="50" cm="1">
        <f t="array" aca="1" ref="R13" ca="1">_xlfn.IFS(AND(U13&lt;=$Y$61,T13&lt;=$Z$61),$AA$61*_xlfn.XLOOKUP(F13,Tickets!$B$4:$B$7,Tickets!$E$4:$E$7,,0),OR(Students!T13&lt;=Students!$Z$62,Students!U13&gt;Students!$Y$63),Students!$AA$62*_xlfn.XLOOKUP(F13,Tickets!$B$4:$B$7,Tickets!$C$4:$C$7,,0),TRUE,0)</f>
        <v>150</v>
      </c>
      <c r="S13" s="48">
        <f t="shared" ca="1" si="3"/>
        <v>44619</v>
      </c>
      <c r="T13" s="45">
        <f t="shared" ca="1" si="4"/>
        <v>0.66666666666666663</v>
      </c>
      <c r="U13" s="52">
        <f t="shared" ca="1" si="5"/>
        <v>26.25</v>
      </c>
    </row>
    <row r="14" spans="1:21" x14ac:dyDescent="0.3">
      <c r="A14" s="11">
        <v>174174</v>
      </c>
      <c r="B14" s="11" t="s">
        <v>39</v>
      </c>
      <c r="C14" s="11" t="s">
        <v>94</v>
      </c>
      <c r="D14" s="13">
        <v>36621</v>
      </c>
      <c r="E14" s="12" t="s">
        <v>203</v>
      </c>
      <c r="F14" s="13" t="s">
        <v>196</v>
      </c>
      <c r="G14" s="13" t="s">
        <v>119</v>
      </c>
      <c r="H14" s="13">
        <v>44479</v>
      </c>
      <c r="I14" s="14">
        <v>0.9514377004736938</v>
      </c>
      <c r="J14" s="21">
        <v>5.831515791398445E-2</v>
      </c>
      <c r="K14" s="16">
        <v>224</v>
      </c>
      <c r="L14" s="20" t="str">
        <f t="shared" si="0"/>
        <v>דשא גילית</v>
      </c>
      <c r="M14" s="49">
        <f t="shared" ca="1" si="1"/>
        <v>45021</v>
      </c>
      <c r="N14" s="50" cm="1">
        <f t="array" ref="N14">_xlfn.XLOOKUP(F14,Tickets!$B$4:$B$7,_xlfn.XLOOKUP(Students!G14,Tickets!$C$3:$E$3,Tickets!$C$4:$E$7,,0),,0)</f>
        <v>130</v>
      </c>
      <c r="O14" s="51">
        <f t="shared" si="2"/>
        <v>0.10687745744029065</v>
      </c>
      <c r="P14" s="20">
        <f>_xlfn.XLOOKUP($E14,Tickets!$E$12:$E$20,Tickets!C$12:C$20,,0)</f>
        <v>25.4</v>
      </c>
      <c r="Q14" s="51">
        <f>_xlfn.XLOOKUP($E14,Tickets!$E$12:$E$20,Tickets!D$12:D$20,,0)</f>
        <v>2.7083333333333334E-2</v>
      </c>
      <c r="R14" s="50" cm="1">
        <f t="array" aca="1" ref="R14" ca="1">_xlfn.IFS(AND(U14&lt;=$Y$61,T14&lt;=$Z$61),$AA$61*_xlfn.XLOOKUP(F14,Tickets!$B$4:$B$7,Tickets!$E$4:$E$7,,0),OR(Students!T14&lt;=Students!$Z$62,Students!U14&gt;Students!$Y$63),Students!$AA$62*_xlfn.XLOOKUP(F14,Tickets!$B$4:$B$7,Tickets!$C$4:$C$7,,0),TRUE,0)</f>
        <v>260</v>
      </c>
      <c r="S14" s="48">
        <f t="shared" ca="1" si="3"/>
        <v>44656</v>
      </c>
      <c r="T14" s="45">
        <f t="shared" ca="1" si="4"/>
        <v>0.66666666666666663</v>
      </c>
      <c r="U14" s="52">
        <f t="shared" ca="1" si="5"/>
        <v>22.166666666666668</v>
      </c>
    </row>
    <row r="15" spans="1:21" x14ac:dyDescent="0.3">
      <c r="A15" s="11">
        <v>324286</v>
      </c>
      <c r="B15" s="11" t="s">
        <v>31</v>
      </c>
      <c r="C15" s="11" t="s">
        <v>84</v>
      </c>
      <c r="D15" s="13">
        <v>35623</v>
      </c>
      <c r="E15" s="12" t="s">
        <v>212</v>
      </c>
      <c r="F15" s="13" t="s">
        <v>204</v>
      </c>
      <c r="G15" s="13" t="s">
        <v>118</v>
      </c>
      <c r="H15" s="13">
        <v>44479</v>
      </c>
      <c r="I15" s="14">
        <v>0.79825396358808809</v>
      </c>
      <c r="J15" s="21">
        <v>0.84116664660322749</v>
      </c>
      <c r="K15" s="16">
        <v>93</v>
      </c>
      <c r="L15" s="20" t="str">
        <f t="shared" si="0"/>
        <v>לביא עמית</v>
      </c>
      <c r="M15" s="49">
        <f t="shared" ca="1" si="1"/>
        <v>44754</v>
      </c>
      <c r="N15" s="50" cm="1">
        <f t="array" ref="N15">_xlfn.XLOOKUP(F15,Tickets!$B$4:$B$7,_xlfn.XLOOKUP(Students!G15,Tickets!$C$3:$E$3,Tickets!$C$4:$E$7,,0),,0)</f>
        <v>90</v>
      </c>
      <c r="O15" s="51">
        <f t="shared" si="2"/>
        <v>4.2912683015139397E-2</v>
      </c>
      <c r="P15" s="20">
        <f>_xlfn.XLOOKUP($E15,Tickets!$E$12:$E$20,Tickets!C$12:C$20,,0)</f>
        <v>45.5</v>
      </c>
      <c r="Q15" s="51">
        <f>_xlfn.XLOOKUP($E15,Tickets!$E$12:$E$20,Tickets!D$12:D$20,,0)</f>
        <v>3.125E-2</v>
      </c>
      <c r="R15" s="50" cm="1">
        <f t="array" aca="1" ref="R15" ca="1">_xlfn.IFS(AND(U15&lt;=$Y$61,T15&lt;=$Z$61),$AA$61*_xlfn.XLOOKUP(F15,Tickets!$B$4:$B$7,Tickets!$E$4:$E$7,,0),OR(Students!T15&lt;=Students!$Z$62,Students!U15&gt;Students!$Y$63),Students!$AA$62*_xlfn.XLOOKUP(F15,Tickets!$B$4:$B$7,Tickets!$C$4:$C$7,,0),TRUE,0)</f>
        <v>200</v>
      </c>
      <c r="S15" s="48">
        <f t="shared" ca="1" si="3"/>
        <v>44754</v>
      </c>
      <c r="T15" s="45">
        <f t="shared" ca="1" si="4"/>
        <v>0.66666666666666663</v>
      </c>
      <c r="U15" s="52">
        <f t="shared" ca="1" si="5"/>
        <v>24.916666666666668</v>
      </c>
    </row>
    <row r="16" spans="1:21" x14ac:dyDescent="0.3">
      <c r="A16" s="11">
        <v>912436</v>
      </c>
      <c r="B16" s="11" t="s">
        <v>43</v>
      </c>
      <c r="C16" s="11" t="s">
        <v>98</v>
      </c>
      <c r="D16" s="13">
        <v>35244</v>
      </c>
      <c r="E16" s="12" t="s">
        <v>209</v>
      </c>
      <c r="F16" s="13" t="s">
        <v>196</v>
      </c>
      <c r="G16" s="13" t="s">
        <v>117</v>
      </c>
      <c r="H16" s="13">
        <v>43387</v>
      </c>
      <c r="I16" s="14">
        <v>0.86346831628826082</v>
      </c>
      <c r="J16" s="21">
        <v>0.96539080036979186</v>
      </c>
      <c r="K16" s="16">
        <v>184</v>
      </c>
      <c r="L16" s="20" t="str">
        <f t="shared" si="0"/>
        <v>דוידוביץ רותי</v>
      </c>
      <c r="M16" s="49">
        <f t="shared" ca="1" si="1"/>
        <v>44740</v>
      </c>
      <c r="N16" s="50" cm="1">
        <f t="array" ref="N16">_xlfn.XLOOKUP(F16,Tickets!$B$4:$B$7,_xlfn.XLOOKUP(Students!G16,Tickets!$C$3:$E$3,Tickets!$C$4:$E$7,,0),,0)</f>
        <v>40</v>
      </c>
      <c r="O16" s="51">
        <f t="shared" si="2"/>
        <v>0.10192248408153104</v>
      </c>
      <c r="P16" s="20">
        <f>_xlfn.XLOOKUP($E16,Tickets!$E$12:$E$20,Tickets!C$12:C$20,,0)</f>
        <v>3.3</v>
      </c>
      <c r="Q16" s="51">
        <f>_xlfn.XLOOKUP($E16,Tickets!$E$12:$E$20,Tickets!D$12:D$20,,0)</f>
        <v>5.5555555555555558E-3</v>
      </c>
      <c r="R16" s="50" cm="1">
        <f t="array" aca="1" ref="R16" ca="1">_xlfn.IFS(AND(U16&lt;=$Y$61,T16&lt;=$Z$61),$AA$61*_xlfn.XLOOKUP(F16,Tickets!$B$4:$B$7,Tickets!$E$4:$E$7,,0),OR(Students!T16&lt;=Students!$Z$62,Students!U16&gt;Students!$Y$63),Students!$AA$62*_xlfn.XLOOKUP(F16,Tickets!$B$4:$B$7,Tickets!$C$4:$C$7,,0),TRUE,0)</f>
        <v>120</v>
      </c>
      <c r="S16" s="48">
        <f t="shared" ca="1" si="3"/>
        <v>44740</v>
      </c>
      <c r="T16" s="45">
        <f t="shared" ca="1" si="4"/>
        <v>3.5833333333333335</v>
      </c>
      <c r="U16" s="52">
        <f t="shared" ca="1" si="5"/>
        <v>25.916666666666668</v>
      </c>
    </row>
    <row r="17" spans="1:25" x14ac:dyDescent="0.3">
      <c r="A17" s="11">
        <v>217047</v>
      </c>
      <c r="B17" s="11" t="s">
        <v>49</v>
      </c>
      <c r="C17" s="11" t="s">
        <v>104</v>
      </c>
      <c r="D17" s="13">
        <v>35081</v>
      </c>
      <c r="E17" s="12" t="s">
        <v>210</v>
      </c>
      <c r="F17" s="13" t="s">
        <v>202</v>
      </c>
      <c r="G17" s="13" t="s">
        <v>117</v>
      </c>
      <c r="H17" s="13">
        <v>43765</v>
      </c>
      <c r="I17" s="14">
        <v>0.77409736069536006</v>
      </c>
      <c r="J17" s="21">
        <v>0.87872061986460526</v>
      </c>
      <c r="K17" s="16">
        <v>187</v>
      </c>
      <c r="L17" s="20" t="str">
        <f t="shared" si="0"/>
        <v>צורן אהוד</v>
      </c>
      <c r="M17" s="49">
        <f t="shared" ca="1" si="1"/>
        <v>44943</v>
      </c>
      <c r="N17" s="50" cm="1">
        <f t="array" ref="N17">_xlfn.XLOOKUP(F17,Tickets!$B$4:$B$7,_xlfn.XLOOKUP(Students!G17,Tickets!$C$3:$E$3,Tickets!$C$4:$E$7,,0),,0)</f>
        <v>50</v>
      </c>
      <c r="O17" s="51">
        <f t="shared" si="2"/>
        <v>0.1046232591692452</v>
      </c>
      <c r="P17" s="20">
        <f>_xlfn.XLOOKUP($E17,Tickets!$E$12:$E$20,Tickets!C$12:C$20,,0)</f>
        <v>19.899999999999999</v>
      </c>
      <c r="Q17" s="51">
        <f>_xlfn.XLOOKUP($E17,Tickets!$E$12:$E$20,Tickets!D$12:D$20,,0)</f>
        <v>1.9444444444444445E-2</v>
      </c>
      <c r="R17" s="50" cm="1">
        <f t="array" aca="1" ref="R17" ca="1">_xlfn.IFS(AND(U17&lt;=$Y$61,T17&lt;=$Z$61),$AA$61*_xlfn.XLOOKUP(F17,Tickets!$B$4:$B$7,Tickets!$E$4:$E$7,,0),OR(Students!T17&lt;=Students!$Z$62,Students!U17&gt;Students!$Y$63),Students!$AA$62*_xlfn.XLOOKUP(F17,Tickets!$B$4:$B$7,Tickets!$C$4:$C$7,,0),TRUE,0)</f>
        <v>150</v>
      </c>
      <c r="S17" s="48">
        <f t="shared" ca="1" si="3"/>
        <v>44578</v>
      </c>
      <c r="T17" s="45">
        <f t="shared" ca="1" si="4"/>
        <v>2.5833333333333335</v>
      </c>
      <c r="U17" s="52">
        <f t="shared" ca="1" si="5"/>
        <v>26.333333333333332</v>
      </c>
    </row>
    <row r="18" spans="1:25" x14ac:dyDescent="0.3">
      <c r="A18" s="11">
        <v>540232</v>
      </c>
      <c r="B18" s="11" t="s">
        <v>14</v>
      </c>
      <c r="C18" s="11" t="s">
        <v>112</v>
      </c>
      <c r="D18" s="13">
        <v>35656</v>
      </c>
      <c r="E18" s="12" t="s">
        <v>209</v>
      </c>
      <c r="F18" s="13" t="s">
        <v>203</v>
      </c>
      <c r="G18" s="13" t="s">
        <v>119</v>
      </c>
      <c r="H18" s="13">
        <v>44479</v>
      </c>
      <c r="I18" s="14">
        <v>0.99684115163471532</v>
      </c>
      <c r="J18" s="21">
        <v>6.1248534487368778E-2</v>
      </c>
      <c r="K18" s="16">
        <v>256</v>
      </c>
      <c r="L18" s="20" t="str">
        <f t="shared" si="0"/>
        <v>סגל שולה</v>
      </c>
      <c r="M18" s="49">
        <f t="shared" ca="1" si="1"/>
        <v>44787</v>
      </c>
      <c r="N18" s="50" cm="1">
        <f t="array" ref="N18">_xlfn.XLOOKUP(F18,Tickets!$B$4:$B$7,_xlfn.XLOOKUP(Students!G18,Tickets!$C$3:$E$3,Tickets!$C$4:$E$7,,0),,0)</f>
        <v>110</v>
      </c>
      <c r="O18" s="51">
        <f t="shared" si="2"/>
        <v>6.4407382852653461E-2</v>
      </c>
      <c r="P18" s="20">
        <f>_xlfn.XLOOKUP($E18,Tickets!$E$12:$E$20,Tickets!C$12:C$20,,0)</f>
        <v>3.3</v>
      </c>
      <c r="Q18" s="51">
        <f>_xlfn.XLOOKUP($E18,Tickets!$E$12:$E$20,Tickets!D$12:D$20,,0)</f>
        <v>5.5555555555555558E-3</v>
      </c>
      <c r="R18" s="50" cm="1">
        <f t="array" aca="1" ref="R18" ca="1">_xlfn.IFS(AND(U18&lt;=$Y$61,T18&lt;=$Z$61),$AA$61*_xlfn.XLOOKUP(F18,Tickets!$B$4:$B$7,Tickets!$E$4:$E$7,,0),OR(Students!T18&lt;=Students!$Z$62,Students!U18&gt;Students!$Y$63),Students!$AA$62*_xlfn.XLOOKUP(F18,Tickets!$B$4:$B$7,Tickets!$C$4:$C$7,,0),TRUE,0)</f>
        <v>220</v>
      </c>
      <c r="S18" s="48">
        <f t="shared" ca="1" si="3"/>
        <v>44787</v>
      </c>
      <c r="T18" s="45">
        <f t="shared" ca="1" si="4"/>
        <v>0.66666666666666663</v>
      </c>
      <c r="U18" s="52">
        <f t="shared" ca="1" si="5"/>
        <v>24.75</v>
      </c>
    </row>
    <row r="19" spans="1:25" x14ac:dyDescent="0.3">
      <c r="A19" s="11">
        <v>592428</v>
      </c>
      <c r="B19" s="11" t="s">
        <v>54</v>
      </c>
      <c r="C19" s="11" t="s">
        <v>110</v>
      </c>
      <c r="D19" s="13">
        <v>36306</v>
      </c>
      <c r="E19" s="12" t="s">
        <v>209</v>
      </c>
      <c r="F19" s="13" t="s">
        <v>196</v>
      </c>
      <c r="G19" s="13" t="s">
        <v>118</v>
      </c>
      <c r="H19" s="13">
        <v>43765</v>
      </c>
      <c r="I19" s="14">
        <v>0.85178869210491048</v>
      </c>
      <c r="J19" s="21">
        <v>0.91856020685994155</v>
      </c>
      <c r="K19" s="16">
        <v>400</v>
      </c>
      <c r="L19" s="20" t="str">
        <f t="shared" si="0"/>
        <v>לוריא יעל</v>
      </c>
      <c r="M19" s="49">
        <f t="shared" ca="1" si="1"/>
        <v>45072</v>
      </c>
      <c r="N19" s="50" cm="1">
        <f t="array" ref="N19">_xlfn.XLOOKUP(F19,Tickets!$B$4:$B$7,_xlfn.XLOOKUP(Students!G19,Tickets!$C$3:$E$3,Tickets!$C$4:$E$7,,0),,0)</f>
        <v>60</v>
      </c>
      <c r="O19" s="51">
        <f t="shared" si="2"/>
        <v>6.6771514755031069E-2</v>
      </c>
      <c r="P19" s="20">
        <f>_xlfn.XLOOKUP($E19,Tickets!$E$12:$E$20,Tickets!C$12:C$20,,0)</f>
        <v>3.3</v>
      </c>
      <c r="Q19" s="51">
        <f>_xlfn.XLOOKUP($E19,Tickets!$E$12:$E$20,Tickets!D$12:D$20,,0)</f>
        <v>5.5555555555555558E-3</v>
      </c>
      <c r="R19" s="50" cm="1">
        <f t="array" aca="1" ref="R19" ca="1">_xlfn.IFS(AND(U19&lt;=$Y$61,T19&lt;=$Z$61),$AA$61*_xlfn.XLOOKUP(F19,Tickets!$B$4:$B$7,Tickets!$E$4:$E$7,,0),OR(Students!T19&lt;=Students!$Z$62,Students!U19&gt;Students!$Y$63),Students!$AA$62*_xlfn.XLOOKUP(F19,Tickets!$B$4:$B$7,Tickets!$C$4:$C$7,,0),TRUE,0)</f>
        <v>0</v>
      </c>
      <c r="S19" s="48">
        <f t="shared" ca="1" si="3"/>
        <v>44707</v>
      </c>
      <c r="T19" s="45">
        <f t="shared" ca="1" si="4"/>
        <v>2.5833333333333335</v>
      </c>
      <c r="U19" s="52">
        <f t="shared" ca="1" si="5"/>
        <v>23</v>
      </c>
    </row>
    <row r="20" spans="1:25" x14ac:dyDescent="0.3">
      <c r="A20" s="11">
        <v>712505</v>
      </c>
      <c r="B20" s="11" t="s">
        <v>53</v>
      </c>
      <c r="C20" s="11" t="s">
        <v>109</v>
      </c>
      <c r="D20" s="13">
        <v>35107</v>
      </c>
      <c r="E20" s="12" t="s">
        <v>209</v>
      </c>
      <c r="F20" s="13" t="s">
        <v>202</v>
      </c>
      <c r="G20" s="13" t="s">
        <v>119</v>
      </c>
      <c r="H20" s="13">
        <v>44122</v>
      </c>
      <c r="I20" s="14">
        <v>0.93534049424074595</v>
      </c>
      <c r="J20" s="21">
        <v>0.98542739680068436</v>
      </c>
      <c r="K20" s="16">
        <v>342</v>
      </c>
      <c r="L20" s="20" t="str">
        <f t="shared" si="0"/>
        <v>ברוך שרה</v>
      </c>
      <c r="M20" s="49">
        <f t="shared" ca="1" si="1"/>
        <v>44969</v>
      </c>
      <c r="N20" s="50" cm="1">
        <f t="array" ref="N20">_xlfn.XLOOKUP(F20,Tickets!$B$4:$B$7,_xlfn.XLOOKUP(Students!G20,Tickets!$C$3:$E$3,Tickets!$C$4:$E$7,,0),,0)</f>
        <v>120</v>
      </c>
      <c r="O20" s="51">
        <f t="shared" si="2"/>
        <v>5.0086902559938418E-2</v>
      </c>
      <c r="P20" s="20">
        <f>_xlfn.XLOOKUP($E20,Tickets!$E$12:$E$20,Tickets!C$12:C$20,,0)</f>
        <v>3.3</v>
      </c>
      <c r="Q20" s="51">
        <f>_xlfn.XLOOKUP($E20,Tickets!$E$12:$E$20,Tickets!D$12:D$20,,0)</f>
        <v>5.5555555555555558E-3</v>
      </c>
      <c r="R20" s="50" cm="1">
        <f t="array" aca="1" ref="R20" ca="1">_xlfn.IFS(AND(U20&lt;=$Y$61,T20&lt;=$Z$61),$AA$61*_xlfn.XLOOKUP(F20,Tickets!$B$4:$B$7,Tickets!$E$4:$E$7,,0),OR(Students!T20&lt;=Students!$Z$62,Students!U20&gt;Students!$Y$63),Students!$AA$62*_xlfn.XLOOKUP(F20,Tickets!$B$4:$B$7,Tickets!$C$4:$C$7,,0),TRUE,0)</f>
        <v>150</v>
      </c>
      <c r="S20" s="48">
        <f t="shared" ca="1" si="3"/>
        <v>44604</v>
      </c>
      <c r="T20" s="45">
        <f t="shared" ca="1" si="4"/>
        <v>1.5833333333333333</v>
      </c>
      <c r="U20" s="52">
        <f t="shared" ca="1" si="5"/>
        <v>26.333333333333332</v>
      </c>
    </row>
    <row r="21" spans="1:25" x14ac:dyDescent="0.3">
      <c r="A21" s="11">
        <v>470372</v>
      </c>
      <c r="B21" s="11" t="s">
        <v>56</v>
      </c>
      <c r="C21" s="11" t="s">
        <v>113</v>
      </c>
      <c r="D21" s="13">
        <v>35349</v>
      </c>
      <c r="E21" s="12" t="s">
        <v>212</v>
      </c>
      <c r="F21" s="13" t="s">
        <v>202</v>
      </c>
      <c r="G21" s="13" t="s">
        <v>119</v>
      </c>
      <c r="H21" s="13">
        <v>43387</v>
      </c>
      <c r="I21" s="14">
        <v>0.99160455672562042</v>
      </c>
      <c r="J21" s="21">
        <v>4.6259135267634921E-2</v>
      </c>
      <c r="K21" s="16">
        <v>255</v>
      </c>
      <c r="L21" s="20" t="str">
        <f t="shared" si="0"/>
        <v>סיבוני בת אל</v>
      </c>
      <c r="M21" s="49">
        <f t="shared" ca="1" si="1"/>
        <v>44845</v>
      </c>
      <c r="N21" s="50" cm="1">
        <f t="array" ref="N21">_xlfn.XLOOKUP(F21,Tickets!$B$4:$B$7,_xlfn.XLOOKUP(Students!G21,Tickets!$C$3:$E$3,Tickets!$C$4:$E$7,,0),,0)</f>
        <v>120</v>
      </c>
      <c r="O21" s="51">
        <f t="shared" si="2"/>
        <v>5.4654578542014498E-2</v>
      </c>
      <c r="P21" s="20">
        <f>_xlfn.XLOOKUP($E21,Tickets!$E$12:$E$20,Tickets!C$12:C$20,,0)</f>
        <v>45.5</v>
      </c>
      <c r="Q21" s="51">
        <f>_xlfn.XLOOKUP($E21,Tickets!$E$12:$E$20,Tickets!D$12:D$20,,0)</f>
        <v>3.125E-2</v>
      </c>
      <c r="R21" s="50" cm="1">
        <f t="array" aca="1" ref="R21" ca="1">_xlfn.IFS(AND(U21&lt;=$Y$61,T21&lt;=$Z$61),$AA$61*_xlfn.XLOOKUP(F21,Tickets!$B$4:$B$7,Tickets!$E$4:$E$7,,0),OR(Students!T21&lt;=Students!$Z$62,Students!U21&gt;Students!$Y$63),Students!$AA$62*_xlfn.XLOOKUP(F21,Tickets!$B$4:$B$7,Tickets!$C$4:$C$7,,0),TRUE,0)</f>
        <v>150</v>
      </c>
      <c r="S21" s="48">
        <f t="shared" ca="1" si="3"/>
        <v>44845</v>
      </c>
      <c r="T21" s="45">
        <f t="shared" ca="1" si="4"/>
        <v>3.5833333333333335</v>
      </c>
      <c r="U21" s="52">
        <f t="shared" ca="1" si="5"/>
        <v>25.666666666666668</v>
      </c>
    </row>
    <row r="22" spans="1:25" x14ac:dyDescent="0.3">
      <c r="A22" s="11">
        <v>299813</v>
      </c>
      <c r="B22" s="11" t="s">
        <v>21</v>
      </c>
      <c r="C22" s="11" t="s">
        <v>74</v>
      </c>
      <c r="D22" s="13">
        <v>34971</v>
      </c>
      <c r="E22" s="12" t="s">
        <v>209</v>
      </c>
      <c r="F22" s="13" t="s">
        <v>196</v>
      </c>
      <c r="G22" s="13" t="s">
        <v>119</v>
      </c>
      <c r="H22" s="13">
        <v>44122</v>
      </c>
      <c r="I22" s="14">
        <v>0.86570133683157713</v>
      </c>
      <c r="J22" s="21">
        <v>0.94387659221001285</v>
      </c>
      <c r="K22" s="16">
        <v>134</v>
      </c>
      <c r="L22" s="20" t="str">
        <f t="shared" si="0"/>
        <v>אבירם נעמה</v>
      </c>
      <c r="M22" s="49">
        <f t="shared" ca="1" si="1"/>
        <v>44833</v>
      </c>
      <c r="N22" s="50" cm="1">
        <f t="array" ref="N22">_xlfn.XLOOKUP(F22,Tickets!$B$4:$B$7,_xlfn.XLOOKUP(Students!G22,Tickets!$C$3:$E$3,Tickets!$C$4:$E$7,,0),,0)</f>
        <v>130</v>
      </c>
      <c r="O22" s="51">
        <f t="shared" si="2"/>
        <v>7.8175255378435726E-2</v>
      </c>
      <c r="P22" s="20">
        <f>_xlfn.XLOOKUP($E22,Tickets!$E$12:$E$20,Tickets!C$12:C$20,,0)</f>
        <v>3.3</v>
      </c>
      <c r="Q22" s="51">
        <f>_xlfn.XLOOKUP($E22,Tickets!$E$12:$E$20,Tickets!D$12:D$20,,0)</f>
        <v>5.5555555555555558E-3</v>
      </c>
      <c r="R22" s="50" cm="1">
        <f t="array" aca="1" ref="R22" ca="1">_xlfn.IFS(AND(U22&lt;=$Y$61,T22&lt;=$Z$61),$AA$61*_xlfn.XLOOKUP(F22,Tickets!$B$4:$B$7,Tickets!$E$4:$E$7,,0),OR(Students!T22&lt;=Students!$Z$62,Students!U22&gt;Students!$Y$63),Students!$AA$62*_xlfn.XLOOKUP(F22,Tickets!$B$4:$B$7,Tickets!$C$4:$C$7,,0),TRUE,0)</f>
        <v>120</v>
      </c>
      <c r="S22" s="48">
        <f t="shared" ca="1" si="3"/>
        <v>44833</v>
      </c>
      <c r="T22" s="45">
        <f t="shared" ca="1" si="4"/>
        <v>1.5833333333333333</v>
      </c>
      <c r="U22" s="52">
        <f t="shared" ca="1" si="5"/>
        <v>26.666666666666668</v>
      </c>
    </row>
    <row r="23" spans="1:25" x14ac:dyDescent="0.3">
      <c r="A23" s="11">
        <v>418335</v>
      </c>
      <c r="B23" s="11" t="s">
        <v>27</v>
      </c>
      <c r="C23" s="11" t="s">
        <v>80</v>
      </c>
      <c r="D23" s="13">
        <v>34889</v>
      </c>
      <c r="E23" s="12" t="s">
        <v>211</v>
      </c>
      <c r="F23" s="13" t="s">
        <v>196</v>
      </c>
      <c r="G23" s="13" t="s">
        <v>118</v>
      </c>
      <c r="H23" s="13">
        <v>44122</v>
      </c>
      <c r="I23" s="14">
        <v>0.95333637846147012</v>
      </c>
      <c r="J23" s="21">
        <v>5.560936885711909E-3</v>
      </c>
      <c r="K23" s="16">
        <v>281</v>
      </c>
      <c r="L23" s="20" t="str">
        <f t="shared" si="0"/>
        <v>פרידמן מיכאל</v>
      </c>
      <c r="M23" s="49">
        <f t="shared" ca="1" si="1"/>
        <v>44751</v>
      </c>
      <c r="N23" s="50" cm="1">
        <f t="array" ref="N23">_xlfn.XLOOKUP(F23,Tickets!$B$4:$B$7,_xlfn.XLOOKUP(Students!G23,Tickets!$C$3:$E$3,Tickets!$C$4:$E$7,,0),,0)</f>
        <v>60</v>
      </c>
      <c r="O23" s="51">
        <f t="shared" si="2"/>
        <v>5.2224558424241785E-2</v>
      </c>
      <c r="P23" s="20">
        <f>_xlfn.XLOOKUP($E23,Tickets!$E$12:$E$20,Tickets!C$12:C$20,,0)</f>
        <v>14.7</v>
      </c>
      <c r="Q23" s="51">
        <f>_xlfn.XLOOKUP($E23,Tickets!$E$12:$E$20,Tickets!D$12:D$20,,0)</f>
        <v>1.6666666666666666E-2</v>
      </c>
      <c r="R23" s="50" cm="1">
        <f t="array" aca="1" ref="R23" ca="1">_xlfn.IFS(AND(U23&lt;=$Y$61,T23&lt;=$Z$61),$AA$61*_xlfn.XLOOKUP(F23,Tickets!$B$4:$B$7,Tickets!$E$4:$E$7,,0),OR(Students!T23&lt;=Students!$Z$62,Students!U23&gt;Students!$Y$63),Students!$AA$62*_xlfn.XLOOKUP(F23,Tickets!$B$4:$B$7,Tickets!$C$4:$C$7,,0),TRUE,0)</f>
        <v>120</v>
      </c>
      <c r="S23" s="48">
        <f t="shared" ca="1" si="3"/>
        <v>44751</v>
      </c>
      <c r="T23" s="45">
        <f t="shared" ca="1" si="4"/>
        <v>1.5833333333333333</v>
      </c>
      <c r="U23" s="52">
        <f t="shared" ca="1" si="5"/>
        <v>26.916666666666668</v>
      </c>
    </row>
    <row r="24" spans="1:25" x14ac:dyDescent="0.3">
      <c r="A24" s="11">
        <v>523319</v>
      </c>
      <c r="B24" s="11" t="s">
        <v>9</v>
      </c>
      <c r="C24" s="11" t="s">
        <v>63</v>
      </c>
      <c r="D24" s="13">
        <v>36455</v>
      </c>
      <c r="E24" s="12" t="s">
        <v>203</v>
      </c>
      <c r="F24" s="13" t="s">
        <v>196</v>
      </c>
      <c r="G24" s="13" t="s">
        <v>117</v>
      </c>
      <c r="H24" s="13">
        <v>43765</v>
      </c>
      <c r="I24" s="14">
        <v>0.84923371137424009</v>
      </c>
      <c r="J24" s="21">
        <v>8.0839841149979996E-3</v>
      </c>
      <c r="K24" s="16">
        <v>39</v>
      </c>
      <c r="L24" s="20" t="str">
        <f t="shared" si="0"/>
        <v>הרמן עידו</v>
      </c>
      <c r="M24" s="49">
        <f t="shared" ca="1" si="1"/>
        <v>44856</v>
      </c>
      <c r="N24" s="50" cm="1">
        <f t="array" ref="N24">_xlfn.XLOOKUP(F24,Tickets!$B$4:$B$7,_xlfn.XLOOKUP(Students!G24,Tickets!$C$3:$E$3,Tickets!$C$4:$E$7,,0),,0)</f>
        <v>40</v>
      </c>
      <c r="O24" s="51">
        <f t="shared" si="2"/>
        <v>0.15885027274075791</v>
      </c>
      <c r="P24" s="20">
        <f>_xlfn.XLOOKUP($E24,Tickets!$E$12:$E$20,Tickets!C$12:C$20,,0)</f>
        <v>25.4</v>
      </c>
      <c r="Q24" s="51">
        <f>_xlfn.XLOOKUP($E24,Tickets!$E$12:$E$20,Tickets!D$12:D$20,,0)</f>
        <v>2.7083333333333334E-2</v>
      </c>
      <c r="R24" s="50" cm="1">
        <f t="array" aca="1" ref="R24" ca="1">_xlfn.IFS(AND(U24&lt;=$Y$61,T24&lt;=$Z$61),$AA$61*_xlfn.XLOOKUP(F24,Tickets!$B$4:$B$7,Tickets!$E$4:$E$7,,0),OR(Students!T24&lt;=Students!$Z$62,Students!U24&gt;Students!$Y$63),Students!$AA$62*_xlfn.XLOOKUP(F24,Tickets!$B$4:$B$7,Tickets!$C$4:$C$7,,0),TRUE,0)</f>
        <v>0</v>
      </c>
      <c r="S24" s="48">
        <f t="shared" ca="1" si="3"/>
        <v>44856</v>
      </c>
      <c r="T24" s="45">
        <f t="shared" ca="1" si="4"/>
        <v>2.5833333333333335</v>
      </c>
      <c r="U24" s="52">
        <f t="shared" ca="1" si="5"/>
        <v>22.583333333333332</v>
      </c>
    </row>
    <row r="25" spans="1:25" x14ac:dyDescent="0.3">
      <c r="A25" s="11">
        <v>866189</v>
      </c>
      <c r="B25" s="11" t="s">
        <v>6</v>
      </c>
      <c r="C25" s="11" t="s">
        <v>60</v>
      </c>
      <c r="D25" s="13">
        <v>34728</v>
      </c>
      <c r="E25" s="12" t="s">
        <v>212</v>
      </c>
      <c r="F25" s="13" t="s">
        <v>204</v>
      </c>
      <c r="G25" s="13" t="s">
        <v>119</v>
      </c>
      <c r="H25" s="13">
        <v>43387</v>
      </c>
      <c r="I25" s="14">
        <v>0.89151227595967919</v>
      </c>
      <c r="J25" s="21">
        <v>3.0450163318733958E-2</v>
      </c>
      <c r="K25" s="16">
        <v>153</v>
      </c>
      <c r="L25" s="20" t="str">
        <f t="shared" si="0"/>
        <v>ברמן אבינועם</v>
      </c>
      <c r="M25" s="49">
        <f t="shared" ca="1" si="1"/>
        <v>44955</v>
      </c>
      <c r="N25" s="50" cm="1">
        <f t="array" ref="N25">_xlfn.XLOOKUP(F25,Tickets!$B$4:$B$7,_xlfn.XLOOKUP(Students!G25,Tickets!$C$3:$E$3,Tickets!$C$4:$E$7,,0),,0)</f>
        <v>100</v>
      </c>
      <c r="O25" s="51">
        <f t="shared" si="2"/>
        <v>0.13893788735905477</v>
      </c>
      <c r="P25" s="20">
        <f>_xlfn.XLOOKUP($E25,Tickets!$E$12:$E$20,Tickets!C$12:C$20,,0)</f>
        <v>45.5</v>
      </c>
      <c r="Q25" s="51">
        <f>_xlfn.XLOOKUP($E25,Tickets!$E$12:$E$20,Tickets!D$12:D$20,,0)</f>
        <v>3.125E-2</v>
      </c>
      <c r="R25" s="50" cm="1">
        <f t="array" aca="1" ref="R25" ca="1">_xlfn.IFS(AND(U25&lt;=$Y$61,T25&lt;=$Z$61),$AA$61*_xlfn.XLOOKUP(F25,Tickets!$B$4:$B$7,Tickets!$E$4:$E$7,,0),OR(Students!T25&lt;=Students!$Z$62,Students!U25&gt;Students!$Y$63),Students!$AA$62*_xlfn.XLOOKUP(F25,Tickets!$B$4:$B$7,Tickets!$C$4:$C$7,,0),TRUE,0)</f>
        <v>210</v>
      </c>
      <c r="S25" s="48">
        <f t="shared" ca="1" si="3"/>
        <v>44590</v>
      </c>
      <c r="T25" s="45">
        <f t="shared" ca="1" si="4"/>
        <v>3.5833333333333335</v>
      </c>
      <c r="U25" s="52">
        <f t="shared" ca="1" si="5"/>
        <v>27.333333333333332</v>
      </c>
    </row>
    <row r="26" spans="1:25" x14ac:dyDescent="0.3">
      <c r="A26" s="11">
        <v>125709</v>
      </c>
      <c r="B26" s="11" t="s">
        <v>4</v>
      </c>
      <c r="C26" s="11" t="s">
        <v>65</v>
      </c>
      <c r="D26" s="13">
        <v>36122</v>
      </c>
      <c r="E26" s="12" t="s">
        <v>208</v>
      </c>
      <c r="F26" s="13" t="s">
        <v>204</v>
      </c>
      <c r="G26" s="13" t="s">
        <v>119</v>
      </c>
      <c r="H26" s="13">
        <v>44122</v>
      </c>
      <c r="I26" s="14">
        <v>0.81125628044175579</v>
      </c>
      <c r="J26" s="21">
        <v>0.9771895370717737</v>
      </c>
      <c r="K26" s="16">
        <v>213</v>
      </c>
      <c r="L26" s="20" t="str">
        <f t="shared" si="0"/>
        <v>לוי רז</v>
      </c>
      <c r="M26" s="49">
        <f t="shared" ca="1" si="1"/>
        <v>44888</v>
      </c>
      <c r="N26" s="50" cm="1">
        <f t="array" ref="N26">_xlfn.XLOOKUP(F26,Tickets!$B$4:$B$7,_xlfn.XLOOKUP(Students!G26,Tickets!$C$3:$E$3,Tickets!$C$4:$E$7,,0),,0)</f>
        <v>100</v>
      </c>
      <c r="O26" s="51">
        <f t="shared" si="2"/>
        <v>0.1659332566300179</v>
      </c>
      <c r="P26" s="20">
        <f>_xlfn.XLOOKUP($E26,Tickets!$E$12:$E$20,Tickets!C$12:C$20,,0)</f>
        <v>29.7</v>
      </c>
      <c r="Q26" s="51">
        <f>_xlfn.XLOOKUP($E26,Tickets!$E$12:$E$20,Tickets!D$12:D$20,,0)</f>
        <v>1.8749999999999999E-2</v>
      </c>
      <c r="R26" s="50" cm="1">
        <f t="array" aca="1" ref="R26" ca="1">_xlfn.IFS(AND(U26&lt;=$Y$61,T26&lt;=$Z$61),$AA$61*_xlfn.XLOOKUP(F26,Tickets!$B$4:$B$7,Tickets!$E$4:$E$7,,0),OR(Students!T26&lt;=Students!$Z$62,Students!U26&gt;Students!$Y$63),Students!$AA$62*_xlfn.XLOOKUP(F26,Tickets!$B$4:$B$7,Tickets!$C$4:$C$7,,0),TRUE,0)</f>
        <v>210</v>
      </c>
      <c r="S26" s="48">
        <f t="shared" ca="1" si="3"/>
        <v>44888</v>
      </c>
      <c r="T26" s="45">
        <f t="shared" ca="1" si="4"/>
        <v>1.5833333333333333</v>
      </c>
      <c r="U26" s="52">
        <f t="shared" ca="1" si="5"/>
        <v>23.5</v>
      </c>
    </row>
    <row r="27" spans="1:25" x14ac:dyDescent="0.3">
      <c r="A27" s="11">
        <v>279253</v>
      </c>
      <c r="B27" s="11" t="s">
        <v>37</v>
      </c>
      <c r="C27" s="11" t="s">
        <v>92</v>
      </c>
      <c r="D27" s="13">
        <v>36213</v>
      </c>
      <c r="E27" s="12" t="s">
        <v>212</v>
      </c>
      <c r="F27" s="13" t="s">
        <v>196</v>
      </c>
      <c r="G27" s="13" t="s">
        <v>118</v>
      </c>
      <c r="H27" s="13">
        <v>44479</v>
      </c>
      <c r="I27" s="14">
        <v>0.75669582855622286</v>
      </c>
      <c r="J27" s="21">
        <v>0.86730986396192256</v>
      </c>
      <c r="K27" s="16">
        <v>55</v>
      </c>
      <c r="L27" s="20" t="str">
        <f t="shared" si="0"/>
        <v>סדובסקי שגיא</v>
      </c>
      <c r="M27" s="49">
        <f t="shared" ca="1" si="1"/>
        <v>44979</v>
      </c>
      <c r="N27" s="50" cm="1">
        <f t="array" ref="N27">_xlfn.XLOOKUP(F27,Tickets!$B$4:$B$7,_xlfn.XLOOKUP(Students!G27,Tickets!$C$3:$E$3,Tickets!$C$4:$E$7,,0),,0)</f>
        <v>60</v>
      </c>
      <c r="O27" s="51">
        <f t="shared" si="2"/>
        <v>0.1106140354056997</v>
      </c>
      <c r="P27" s="20">
        <f>_xlfn.XLOOKUP($E27,Tickets!$E$12:$E$20,Tickets!C$12:C$20,,0)</f>
        <v>45.5</v>
      </c>
      <c r="Q27" s="51">
        <f>_xlfn.XLOOKUP($E27,Tickets!$E$12:$E$20,Tickets!D$12:D$20,,0)</f>
        <v>3.125E-2</v>
      </c>
      <c r="R27" s="50" cm="1">
        <f t="array" aca="1" ref="R27" ca="1">_xlfn.IFS(AND(U27&lt;=$Y$61,T27&lt;=$Z$61),$AA$61*_xlfn.XLOOKUP(F27,Tickets!$B$4:$B$7,Tickets!$E$4:$E$7,,0),OR(Students!T27&lt;=Students!$Z$62,Students!U27&gt;Students!$Y$63),Students!$AA$62*_xlfn.XLOOKUP(F27,Tickets!$B$4:$B$7,Tickets!$C$4:$C$7,,0),TRUE,0)</f>
        <v>260</v>
      </c>
      <c r="S27" s="48">
        <f t="shared" ca="1" si="3"/>
        <v>44614</v>
      </c>
      <c r="T27" s="45">
        <f t="shared" ca="1" si="4"/>
        <v>0.66666666666666663</v>
      </c>
      <c r="U27" s="52">
        <f t="shared" ca="1" si="5"/>
        <v>23.25</v>
      </c>
    </row>
    <row r="28" spans="1:25" x14ac:dyDescent="0.3">
      <c r="A28" s="11">
        <v>500938</v>
      </c>
      <c r="B28" s="11" t="s">
        <v>30</v>
      </c>
      <c r="C28" s="11" t="s">
        <v>83</v>
      </c>
      <c r="D28" s="13">
        <v>35080</v>
      </c>
      <c r="E28" s="12" t="s">
        <v>211</v>
      </c>
      <c r="F28" s="13" t="s">
        <v>196</v>
      </c>
      <c r="G28" s="13" t="s">
        <v>118</v>
      </c>
      <c r="H28" s="13">
        <v>44479</v>
      </c>
      <c r="I28" s="14">
        <v>0.88531823754718286</v>
      </c>
      <c r="J28" s="21">
        <v>0.97488148243237449</v>
      </c>
      <c r="K28" s="16">
        <v>463</v>
      </c>
      <c r="L28" s="20" t="str">
        <f t="shared" si="0"/>
        <v>פז טל</v>
      </c>
      <c r="M28" s="49">
        <f t="shared" ca="1" si="1"/>
        <v>44942</v>
      </c>
      <c r="N28" s="50" cm="1">
        <f t="array" ref="N28">_xlfn.XLOOKUP(F28,Tickets!$B$4:$B$7,_xlfn.XLOOKUP(Students!G28,Tickets!$C$3:$E$3,Tickets!$C$4:$E$7,,0),,0)</f>
        <v>60</v>
      </c>
      <c r="O28" s="51">
        <f t="shared" si="2"/>
        <v>8.9563244885191629E-2</v>
      </c>
      <c r="P28" s="20">
        <f>_xlfn.XLOOKUP($E28,Tickets!$E$12:$E$20,Tickets!C$12:C$20,,0)</f>
        <v>14.7</v>
      </c>
      <c r="Q28" s="51">
        <f>_xlfn.XLOOKUP($E28,Tickets!$E$12:$E$20,Tickets!D$12:D$20,,0)</f>
        <v>1.6666666666666666E-2</v>
      </c>
      <c r="R28" s="50" cm="1">
        <f t="array" aca="1" ref="R28" ca="1">_xlfn.IFS(AND(U28&lt;=$Y$61,T28&lt;=$Z$61),$AA$61*_xlfn.XLOOKUP(F28,Tickets!$B$4:$B$7,Tickets!$E$4:$E$7,,0),OR(Students!T28&lt;=Students!$Z$62,Students!U28&gt;Students!$Y$63),Students!$AA$62*_xlfn.XLOOKUP(F28,Tickets!$B$4:$B$7,Tickets!$C$4:$C$7,,0),TRUE,0)</f>
        <v>120</v>
      </c>
      <c r="S28" s="48">
        <f t="shared" ca="1" si="3"/>
        <v>44577</v>
      </c>
      <c r="T28" s="45">
        <f t="shared" ca="1" si="4"/>
        <v>0.66666666666666663</v>
      </c>
      <c r="U28" s="52">
        <f t="shared" ca="1" si="5"/>
        <v>26.333333333333332</v>
      </c>
    </row>
    <row r="29" spans="1:25" x14ac:dyDescent="0.3">
      <c r="A29" s="11">
        <v>929082</v>
      </c>
      <c r="B29" s="11" t="s">
        <v>42</v>
      </c>
      <c r="C29" s="11" t="s">
        <v>97</v>
      </c>
      <c r="D29" s="13">
        <v>36033</v>
      </c>
      <c r="E29" s="12" t="s">
        <v>206</v>
      </c>
      <c r="F29" s="13" t="s">
        <v>203</v>
      </c>
      <c r="G29" s="13" t="s">
        <v>118</v>
      </c>
      <c r="H29" s="13">
        <v>44122</v>
      </c>
      <c r="I29" s="14">
        <v>0.75314426631864984</v>
      </c>
      <c r="J29" s="21">
        <v>0.84799608710346241</v>
      </c>
      <c r="K29" s="16">
        <v>183</v>
      </c>
      <c r="L29" s="20" t="str">
        <f t="shared" si="0"/>
        <v>ששון אפרת</v>
      </c>
      <c r="M29" s="49">
        <f t="shared" ca="1" si="1"/>
        <v>44799</v>
      </c>
      <c r="N29" s="50" cm="1">
        <f t="array" ref="N29">_xlfn.XLOOKUP(F29,Tickets!$B$4:$B$7,_xlfn.XLOOKUP(Students!G29,Tickets!$C$3:$E$3,Tickets!$C$4:$E$7,,0),,0)</f>
        <v>80</v>
      </c>
      <c r="O29" s="51">
        <f t="shared" si="2"/>
        <v>9.4851820784812579E-2</v>
      </c>
      <c r="P29" s="20">
        <f>_xlfn.XLOOKUP($E29,Tickets!$E$12:$E$20,Tickets!C$12:C$20,,0)</f>
        <v>19.100000000000001</v>
      </c>
      <c r="Q29" s="51">
        <f>_xlfn.XLOOKUP($E29,Tickets!$E$12:$E$20,Tickets!D$12:D$20,,0)</f>
        <v>1.8055555555555557E-2</v>
      </c>
      <c r="R29" s="50" cm="1">
        <f t="array" aca="1" ref="R29" ca="1">_xlfn.IFS(AND(U29&lt;=$Y$61,T29&lt;=$Z$61),$AA$61*_xlfn.XLOOKUP(F29,Tickets!$B$4:$B$7,Tickets!$E$4:$E$7,,0),OR(Students!T29&lt;=Students!$Z$62,Students!U29&gt;Students!$Y$63),Students!$AA$62*_xlfn.XLOOKUP(F29,Tickets!$B$4:$B$7,Tickets!$C$4:$C$7,,0),TRUE,0)</f>
        <v>180</v>
      </c>
      <c r="S29" s="48">
        <f t="shared" ca="1" si="3"/>
        <v>44799</v>
      </c>
      <c r="T29" s="45">
        <f t="shared" ca="1" si="4"/>
        <v>1.5833333333333333</v>
      </c>
      <c r="U29" s="52">
        <f t="shared" ca="1" si="5"/>
        <v>23.75</v>
      </c>
    </row>
    <row r="30" spans="1:25" x14ac:dyDescent="0.3">
      <c r="A30" s="11">
        <v>867217</v>
      </c>
      <c r="B30" s="11" t="s">
        <v>50</v>
      </c>
      <c r="C30" s="11" t="s">
        <v>105</v>
      </c>
      <c r="D30" s="13">
        <v>35903</v>
      </c>
      <c r="E30" s="12" t="s">
        <v>208</v>
      </c>
      <c r="F30" s="13" t="s">
        <v>196</v>
      </c>
      <c r="G30" s="13" t="s">
        <v>117</v>
      </c>
      <c r="H30" s="13">
        <v>44122</v>
      </c>
      <c r="I30" s="14">
        <v>0.95517891338472749</v>
      </c>
      <c r="J30" s="21">
        <v>1.3389840926406382E-2</v>
      </c>
      <c r="K30" s="16">
        <v>329</v>
      </c>
      <c r="L30" s="20" t="str">
        <f t="shared" si="0"/>
        <v>רם שלומי</v>
      </c>
      <c r="M30" s="49">
        <f t="shared" ca="1" si="1"/>
        <v>45034</v>
      </c>
      <c r="N30" s="50" cm="1">
        <f t="array" ref="N30">_xlfn.XLOOKUP(F30,Tickets!$B$4:$B$7,_xlfn.XLOOKUP(Students!G30,Tickets!$C$3:$E$3,Tickets!$C$4:$E$7,,0),,0)</f>
        <v>40</v>
      </c>
      <c r="O30" s="51">
        <f t="shared" si="2"/>
        <v>5.8210927541678892E-2</v>
      </c>
      <c r="P30" s="20">
        <f>_xlfn.XLOOKUP($E30,Tickets!$E$12:$E$20,Tickets!C$12:C$20,,0)</f>
        <v>29.7</v>
      </c>
      <c r="Q30" s="51">
        <f>_xlfn.XLOOKUP($E30,Tickets!$E$12:$E$20,Tickets!D$12:D$20,,0)</f>
        <v>1.8749999999999999E-2</v>
      </c>
      <c r="R30" s="50" cm="1">
        <f t="array" aca="1" ref="R30" ca="1">_xlfn.IFS(AND(U30&lt;=$Y$61,T30&lt;=$Z$61),$AA$61*_xlfn.XLOOKUP(F30,Tickets!$B$4:$B$7,Tickets!$E$4:$E$7,,0),OR(Students!T30&lt;=Students!$Z$62,Students!U30&gt;Students!$Y$63),Students!$AA$62*_xlfn.XLOOKUP(F30,Tickets!$B$4:$B$7,Tickets!$C$4:$C$7,,0),TRUE,0)</f>
        <v>120</v>
      </c>
      <c r="S30" s="48">
        <f t="shared" ca="1" si="3"/>
        <v>44669</v>
      </c>
      <c r="T30" s="45">
        <f t="shared" ca="1" si="4"/>
        <v>1.5833333333333333</v>
      </c>
      <c r="U30" s="52">
        <f t="shared" ca="1" si="5"/>
        <v>24.083333333333332</v>
      </c>
    </row>
    <row r="31" spans="1:25" x14ac:dyDescent="0.3">
      <c r="A31" s="11">
        <v>194364</v>
      </c>
      <c r="B31" s="11" t="s">
        <v>24</v>
      </c>
      <c r="C31" s="11" t="s">
        <v>85</v>
      </c>
      <c r="D31" s="13">
        <v>35735</v>
      </c>
      <c r="E31" s="12" t="s">
        <v>211</v>
      </c>
      <c r="F31" s="13" t="s">
        <v>204</v>
      </c>
      <c r="G31" s="13" t="s">
        <v>119</v>
      </c>
      <c r="H31" s="13">
        <v>44122</v>
      </c>
      <c r="I31" s="14">
        <v>0.96997885911180526</v>
      </c>
      <c r="J31" s="21">
        <v>2.3894493097260217E-2</v>
      </c>
      <c r="K31" s="16">
        <v>49</v>
      </c>
      <c r="L31" s="20" t="str">
        <f t="shared" si="0"/>
        <v>קדוש גלי</v>
      </c>
      <c r="M31" s="49">
        <f t="shared" ca="1" si="1"/>
        <v>44866</v>
      </c>
      <c r="N31" s="50" cm="1">
        <f t="array" ref="N31">_xlfn.XLOOKUP(F31,Tickets!$B$4:$B$7,_xlfn.XLOOKUP(Students!G31,Tickets!$C$3:$E$3,Tickets!$C$4:$E$7,,0),,0)</f>
        <v>100</v>
      </c>
      <c r="O31" s="51">
        <f t="shared" si="2"/>
        <v>5.3915633985454958E-2</v>
      </c>
      <c r="P31" s="20">
        <f>_xlfn.XLOOKUP($E31,Tickets!$E$12:$E$20,Tickets!C$12:C$20,,0)</f>
        <v>14.7</v>
      </c>
      <c r="Q31" s="51">
        <f>_xlfn.XLOOKUP($E31,Tickets!$E$12:$E$20,Tickets!D$12:D$20,,0)</f>
        <v>1.6666666666666666E-2</v>
      </c>
      <c r="R31" s="50" cm="1">
        <f t="array" aca="1" ref="R31" ca="1">_xlfn.IFS(AND(U31&lt;=$Y$61,T31&lt;=$Z$61),$AA$61*_xlfn.XLOOKUP(F31,Tickets!$B$4:$B$7,Tickets!$E$4:$E$7,,0),OR(Students!T31&lt;=Students!$Z$62,Students!U31&gt;Students!$Y$63),Students!$AA$62*_xlfn.XLOOKUP(F31,Tickets!$B$4:$B$7,Tickets!$C$4:$C$7,,0),TRUE,0)</f>
        <v>210</v>
      </c>
      <c r="S31" s="48">
        <f t="shared" ca="1" si="3"/>
        <v>44866</v>
      </c>
      <c r="T31" s="45">
        <f t="shared" ca="1" si="4"/>
        <v>1.5833333333333333</v>
      </c>
      <c r="U31" s="52">
        <f t="shared" ca="1" si="5"/>
        <v>24.583333333333332</v>
      </c>
    </row>
    <row r="32" spans="1:25" x14ac:dyDescent="0.3">
      <c r="A32" s="11">
        <v>981059</v>
      </c>
      <c r="B32" s="11" t="s">
        <v>40</v>
      </c>
      <c r="C32" s="11" t="s">
        <v>95</v>
      </c>
      <c r="D32" s="13">
        <v>35984</v>
      </c>
      <c r="E32" s="12" t="s">
        <v>208</v>
      </c>
      <c r="F32" s="13" t="s">
        <v>196</v>
      </c>
      <c r="G32" s="13" t="s">
        <v>119</v>
      </c>
      <c r="H32" s="13">
        <v>43387</v>
      </c>
      <c r="I32" s="14">
        <v>0.81590618546586424</v>
      </c>
      <c r="J32" s="21">
        <v>0.86599638187962014</v>
      </c>
      <c r="K32" s="16">
        <v>256</v>
      </c>
      <c r="L32" s="20" t="str">
        <f t="shared" si="0"/>
        <v>נעים אולי</v>
      </c>
      <c r="M32" s="49">
        <f t="shared" ca="1" si="1"/>
        <v>44750</v>
      </c>
      <c r="N32" s="50" cm="1">
        <f t="array" ref="N32">_xlfn.XLOOKUP(F32,Tickets!$B$4:$B$7,_xlfn.XLOOKUP(Students!G32,Tickets!$C$3:$E$3,Tickets!$C$4:$E$7,,0),,0)</f>
        <v>130</v>
      </c>
      <c r="O32" s="51">
        <f t="shared" si="2"/>
        <v>5.0090196413755894E-2</v>
      </c>
      <c r="P32" s="20">
        <f>_xlfn.XLOOKUP($E32,Tickets!$E$12:$E$20,Tickets!C$12:C$20,,0)</f>
        <v>29.7</v>
      </c>
      <c r="Q32" s="51">
        <f>_xlfn.XLOOKUP($E32,Tickets!$E$12:$E$20,Tickets!D$12:D$20,,0)</f>
        <v>1.8749999999999999E-2</v>
      </c>
      <c r="R32" s="50" cm="1">
        <f t="array" aca="1" ref="R32" ca="1">_xlfn.IFS(AND(U32&lt;=$Y$61,T32&lt;=$Z$61),$AA$61*_xlfn.XLOOKUP(F32,Tickets!$B$4:$B$7,Tickets!$E$4:$E$7,,0),OR(Students!T32&lt;=Students!$Z$62,Students!U32&gt;Students!$Y$63),Students!$AA$62*_xlfn.XLOOKUP(F32,Tickets!$B$4:$B$7,Tickets!$C$4:$C$7,,0),TRUE,0)</f>
        <v>0</v>
      </c>
      <c r="S32" s="48">
        <f t="shared" ca="1" si="3"/>
        <v>44750</v>
      </c>
      <c r="T32" s="45">
        <f t="shared" ca="1" si="4"/>
        <v>3.5833333333333335</v>
      </c>
      <c r="U32" s="52">
        <f t="shared" ca="1" si="5"/>
        <v>23.916666666666668</v>
      </c>
      <c r="W32"/>
      <c r="X32"/>
      <c r="Y32"/>
    </row>
    <row r="33" spans="1:27" x14ac:dyDescent="0.3">
      <c r="A33" s="11">
        <v>783958</v>
      </c>
      <c r="B33" s="11" t="s">
        <v>45</v>
      </c>
      <c r="C33" s="11" t="s">
        <v>100</v>
      </c>
      <c r="D33" s="13">
        <v>35427</v>
      </c>
      <c r="E33" s="12" t="s">
        <v>207</v>
      </c>
      <c r="F33" s="13" t="s">
        <v>204</v>
      </c>
      <c r="G33" s="13" t="s">
        <v>117</v>
      </c>
      <c r="H33" s="13">
        <v>43765</v>
      </c>
      <c r="I33" s="14">
        <v>0.7925994128008349</v>
      </c>
      <c r="J33" s="21">
        <v>0.84432974577805886</v>
      </c>
      <c r="K33" s="16">
        <v>75</v>
      </c>
      <c r="L33" s="20" t="str">
        <f t="shared" si="0"/>
        <v>גמליאל חננה</v>
      </c>
      <c r="M33" s="49">
        <f t="shared" ca="1" si="1"/>
        <v>44923</v>
      </c>
      <c r="N33" s="50" cm="1">
        <f t="array" ref="N33">_xlfn.XLOOKUP(F33,Tickets!$B$4:$B$7,_xlfn.XLOOKUP(Students!G33,Tickets!$C$3:$E$3,Tickets!$C$4:$E$7,,0),,0)</f>
        <v>70</v>
      </c>
      <c r="O33" s="51">
        <f t="shared" si="2"/>
        <v>5.1730332977223958E-2</v>
      </c>
      <c r="P33" s="20">
        <f>_xlfn.XLOOKUP($E33,Tickets!$E$12:$E$20,Tickets!C$12:C$20,,0)</f>
        <v>31.7</v>
      </c>
      <c r="Q33" s="51">
        <f>_xlfn.XLOOKUP($E33,Tickets!$E$12:$E$20,Tickets!D$12:D$20,,0)</f>
        <v>2.013888888888889E-2</v>
      </c>
      <c r="R33" s="50" cm="1">
        <f t="array" aca="1" ref="R33" ca="1">_xlfn.IFS(AND(U33&lt;=$Y$61,T33&lt;=$Z$61),$AA$61*_xlfn.XLOOKUP(F33,Tickets!$B$4:$B$7,Tickets!$E$4:$E$7,,0),OR(Students!T33&lt;=Students!$Z$62,Students!U33&gt;Students!$Y$63),Students!$AA$62*_xlfn.XLOOKUP(F33,Tickets!$B$4:$B$7,Tickets!$C$4:$C$7,,0),TRUE,0)</f>
        <v>210</v>
      </c>
      <c r="S33" s="48">
        <f t="shared" ca="1" si="3"/>
        <v>44923</v>
      </c>
      <c r="T33" s="45">
        <f t="shared" ca="1" si="4"/>
        <v>2.5833333333333335</v>
      </c>
      <c r="U33" s="52">
        <f t="shared" ca="1" si="5"/>
        <v>25.416666666666668</v>
      </c>
      <c r="W33"/>
      <c r="X33"/>
      <c r="Y33"/>
    </row>
    <row r="34" spans="1:27" x14ac:dyDescent="0.3">
      <c r="A34" s="11">
        <v>106746</v>
      </c>
      <c r="B34" s="11" t="s">
        <v>19</v>
      </c>
      <c r="C34" s="11" t="s">
        <v>72</v>
      </c>
      <c r="D34" s="13">
        <v>35142</v>
      </c>
      <c r="E34" s="12" t="s">
        <v>207</v>
      </c>
      <c r="F34" s="13" t="s">
        <v>196</v>
      </c>
      <c r="G34" s="13" t="s">
        <v>118</v>
      </c>
      <c r="H34" s="13">
        <v>44122</v>
      </c>
      <c r="I34" s="14">
        <v>0.82871523757314236</v>
      </c>
      <c r="J34" s="21">
        <v>0.87246172809603084</v>
      </c>
      <c r="K34" s="16">
        <v>268</v>
      </c>
      <c r="L34" s="20" t="str">
        <f t="shared" si="0"/>
        <v>גרשון ענבל</v>
      </c>
      <c r="M34" s="49">
        <f t="shared" ca="1" si="1"/>
        <v>45003</v>
      </c>
      <c r="N34" s="50" cm="1">
        <f t="array" ref="N34">_xlfn.XLOOKUP(F34,Tickets!$B$4:$B$7,_xlfn.XLOOKUP(Students!G34,Tickets!$C$3:$E$3,Tickets!$C$4:$E$7,,0),,0)</f>
        <v>60</v>
      </c>
      <c r="O34" s="51">
        <f t="shared" si="2"/>
        <v>4.3746490522888482E-2</v>
      </c>
      <c r="P34" s="20">
        <f>_xlfn.XLOOKUP($E34,Tickets!$E$12:$E$20,Tickets!C$12:C$20,,0)</f>
        <v>31.7</v>
      </c>
      <c r="Q34" s="51">
        <f>_xlfn.XLOOKUP($E34,Tickets!$E$12:$E$20,Tickets!D$12:D$20,,0)</f>
        <v>2.013888888888889E-2</v>
      </c>
      <c r="R34" s="50" cm="1">
        <f t="array" aca="1" ref="R34" ca="1">_xlfn.IFS(AND(U34&lt;=$Y$61,T34&lt;=$Z$61),$AA$61*_xlfn.XLOOKUP(F34,Tickets!$B$4:$B$7,Tickets!$E$4:$E$7,,0),OR(Students!T34&lt;=Students!$Z$62,Students!U34&gt;Students!$Y$63),Students!$AA$62*_xlfn.XLOOKUP(F34,Tickets!$B$4:$B$7,Tickets!$C$4:$C$7,,0),TRUE,0)</f>
        <v>120</v>
      </c>
      <c r="S34" s="48">
        <f t="shared" ca="1" si="3"/>
        <v>44638</v>
      </c>
      <c r="T34" s="45">
        <f t="shared" ca="1" si="4"/>
        <v>1.5833333333333333</v>
      </c>
      <c r="U34" s="52">
        <f t="shared" ca="1" si="5"/>
        <v>26.166666666666668</v>
      </c>
    </row>
    <row r="35" spans="1:27" x14ac:dyDescent="0.3">
      <c r="A35" s="11">
        <v>849919</v>
      </c>
      <c r="B35" s="11" t="s">
        <v>28</v>
      </c>
      <c r="C35" s="11" t="s">
        <v>81</v>
      </c>
      <c r="D35" s="13">
        <v>34803</v>
      </c>
      <c r="E35" s="12" t="s">
        <v>203</v>
      </c>
      <c r="F35" s="13" t="s">
        <v>202</v>
      </c>
      <c r="G35" s="13" t="s">
        <v>119</v>
      </c>
      <c r="H35" s="13">
        <v>43387</v>
      </c>
      <c r="I35" s="14">
        <v>0.92666646550877663</v>
      </c>
      <c r="J35" s="21">
        <v>8.2460283758416519E-3</v>
      </c>
      <c r="K35" s="16">
        <v>386</v>
      </c>
      <c r="L35" s="20" t="str">
        <f t="shared" si="0"/>
        <v>מורן אירית</v>
      </c>
      <c r="M35" s="49">
        <f t="shared" ca="1" si="1"/>
        <v>45030</v>
      </c>
      <c r="N35" s="50" cm="1">
        <f t="array" ref="N35">_xlfn.XLOOKUP(F35,Tickets!$B$4:$B$7,_xlfn.XLOOKUP(Students!G35,Tickets!$C$3:$E$3,Tickets!$C$4:$E$7,,0),,0)</f>
        <v>120</v>
      </c>
      <c r="O35" s="51">
        <f t="shared" si="2"/>
        <v>8.1579562867065025E-2</v>
      </c>
      <c r="P35" s="20">
        <f>_xlfn.XLOOKUP($E35,Tickets!$E$12:$E$20,Tickets!C$12:C$20,,0)</f>
        <v>25.4</v>
      </c>
      <c r="Q35" s="51">
        <f>_xlfn.XLOOKUP($E35,Tickets!$E$12:$E$20,Tickets!D$12:D$20,,0)</f>
        <v>2.7083333333333334E-2</v>
      </c>
      <c r="R35" s="50" cm="1">
        <f t="array" aca="1" ref="R35" ca="1">_xlfn.IFS(AND(U35&lt;=$Y$61,T35&lt;=$Z$61),$AA$61*_xlfn.XLOOKUP(F35,Tickets!$B$4:$B$7,Tickets!$E$4:$E$7,,0),OR(Students!T35&lt;=Students!$Z$62,Students!U35&gt;Students!$Y$63),Students!$AA$62*_xlfn.XLOOKUP(F35,Tickets!$B$4:$B$7,Tickets!$C$4:$C$7,,0),TRUE,0)</f>
        <v>150</v>
      </c>
      <c r="S35" s="48">
        <f t="shared" ca="1" si="3"/>
        <v>44665</v>
      </c>
      <c r="T35" s="45">
        <f t="shared" ca="1" si="4"/>
        <v>3.5833333333333335</v>
      </c>
      <c r="U35" s="52">
        <f t="shared" ca="1" si="5"/>
        <v>27.083333333333332</v>
      </c>
    </row>
    <row r="36" spans="1:27" ht="31.2" x14ac:dyDescent="0.3">
      <c r="A36" s="11">
        <v>857517</v>
      </c>
      <c r="B36" s="11" t="s">
        <v>51</v>
      </c>
      <c r="C36" s="11" t="s">
        <v>106</v>
      </c>
      <c r="D36" s="13">
        <v>35120</v>
      </c>
      <c r="E36" s="12" t="s">
        <v>203</v>
      </c>
      <c r="F36" s="13" t="s">
        <v>204</v>
      </c>
      <c r="G36" s="13" t="s">
        <v>119</v>
      </c>
      <c r="H36" s="13">
        <v>44479</v>
      </c>
      <c r="I36" s="14">
        <v>0.81876392719666269</v>
      </c>
      <c r="J36" s="21">
        <v>0.9627688448423587</v>
      </c>
      <c r="K36" s="16">
        <v>55</v>
      </c>
      <c r="L36" s="20" t="str">
        <f t="shared" si="0"/>
        <v>רהב דרור</v>
      </c>
      <c r="M36" s="49">
        <f t="shared" ca="1" si="1"/>
        <v>44982</v>
      </c>
      <c r="N36" s="50" cm="1">
        <f t="array" ref="N36">_xlfn.XLOOKUP(F36,Tickets!$B$4:$B$7,_xlfn.XLOOKUP(Students!G36,Tickets!$C$3:$E$3,Tickets!$C$4:$E$7,,0),,0)</f>
        <v>100</v>
      </c>
      <c r="O36" s="51">
        <f t="shared" si="2"/>
        <v>0.14400491764569601</v>
      </c>
      <c r="P36" s="20">
        <f>_xlfn.XLOOKUP($E36,Tickets!$E$12:$E$20,Tickets!C$12:C$20,,0)</f>
        <v>25.4</v>
      </c>
      <c r="Q36" s="51">
        <f>_xlfn.XLOOKUP($E36,Tickets!$E$12:$E$20,Tickets!D$12:D$20,,0)</f>
        <v>2.7083333333333334E-2</v>
      </c>
      <c r="R36" s="50" cm="1">
        <f t="array" aca="1" ref="R36" ca="1">_xlfn.IFS(AND(U36&lt;=$Y$61,T36&lt;=$Z$61),$AA$61*_xlfn.XLOOKUP(F36,Tickets!$B$4:$B$7,Tickets!$E$4:$E$7,,0),OR(Students!T36&lt;=Students!$Z$62,Students!U36&gt;Students!$Y$63),Students!$AA$62*_xlfn.XLOOKUP(F36,Tickets!$B$4:$B$7,Tickets!$C$4:$C$7,,0),TRUE,0)</f>
        <v>210</v>
      </c>
      <c r="S36" s="48">
        <f t="shared" ca="1" si="3"/>
        <v>44617</v>
      </c>
      <c r="T36" s="45">
        <f t="shared" ca="1" si="4"/>
        <v>0.66666666666666663</v>
      </c>
      <c r="U36" s="52">
        <f t="shared" ca="1" si="5"/>
        <v>26.25</v>
      </c>
      <c r="X36" s="9" t="s">
        <v>227</v>
      </c>
      <c r="Y36" s="9" t="s">
        <v>199</v>
      </c>
      <c r="Z36" s="9" t="s">
        <v>200</v>
      </c>
      <c r="AA36" s="112" t="s">
        <v>265</v>
      </c>
    </row>
    <row r="37" spans="1:27" x14ac:dyDescent="0.3">
      <c r="A37" s="11">
        <v>928055</v>
      </c>
      <c r="B37" s="11" t="s">
        <v>17</v>
      </c>
      <c r="C37" s="11" t="s">
        <v>71</v>
      </c>
      <c r="D37" s="13">
        <v>36490</v>
      </c>
      <c r="E37" s="12" t="s">
        <v>213</v>
      </c>
      <c r="F37" s="13" t="s">
        <v>202</v>
      </c>
      <c r="G37" s="13" t="s">
        <v>118</v>
      </c>
      <c r="H37" s="13">
        <v>43387</v>
      </c>
      <c r="I37" s="14">
        <v>0.98357446870762133</v>
      </c>
      <c r="J37" s="21">
        <v>8.9730402832746137E-2</v>
      </c>
      <c r="K37" s="16">
        <v>54</v>
      </c>
      <c r="L37" s="20" t="str">
        <f t="shared" si="0"/>
        <v>קדם יובל</v>
      </c>
      <c r="M37" s="49">
        <f t="shared" ca="1" si="1"/>
        <v>44891</v>
      </c>
      <c r="N37" s="50" cm="1">
        <f t="array" ref="N37">_xlfn.XLOOKUP(F37,Tickets!$B$4:$B$7,_xlfn.XLOOKUP(Students!G37,Tickets!$C$3:$E$3,Tickets!$C$4:$E$7,,0),,0)</f>
        <v>70</v>
      </c>
      <c r="O37" s="51">
        <f t="shared" si="2"/>
        <v>0.10615593412512481</v>
      </c>
      <c r="P37" s="20">
        <f>_xlfn.XLOOKUP($E37,Tickets!$E$12:$E$20,Tickets!C$12:C$20,,0)</f>
        <v>16.8</v>
      </c>
      <c r="Q37" s="51">
        <f>_xlfn.XLOOKUP($E37,Tickets!$E$12:$E$20,Tickets!D$12:D$20,,0)</f>
        <v>1.5277777777777777E-2</v>
      </c>
      <c r="R37" s="50" cm="1">
        <f t="array" aca="1" ref="R37" ca="1">_xlfn.IFS(AND(U37&lt;=$Y$61,T37&lt;=$Z$61),$AA$61*_xlfn.XLOOKUP(F37,Tickets!$B$4:$B$7,Tickets!$E$4:$E$7,,0),OR(Students!T37&lt;=Students!$Z$62,Students!U37&gt;Students!$Y$63),Students!$AA$62*_xlfn.XLOOKUP(F37,Tickets!$B$4:$B$7,Tickets!$C$4:$C$7,,0),TRUE,0)</f>
        <v>0</v>
      </c>
      <c r="S37" s="48">
        <f t="shared" ca="1" si="3"/>
        <v>44891</v>
      </c>
      <c r="T37" s="45">
        <f t="shared" ca="1" si="4"/>
        <v>3.5833333333333335</v>
      </c>
      <c r="U37" s="52">
        <f t="shared" ca="1" si="5"/>
        <v>22.5</v>
      </c>
      <c r="X37" s="112">
        <v>350</v>
      </c>
      <c r="Y37" s="113">
        <v>0.83333333333333337</v>
      </c>
      <c r="Z37" s="114">
        <v>0.83333333333333337</v>
      </c>
      <c r="AA37" s="112" t="s">
        <v>264</v>
      </c>
    </row>
    <row r="38" spans="1:27" x14ac:dyDescent="0.3">
      <c r="A38" s="11">
        <v>932475</v>
      </c>
      <c r="B38" s="11" t="s">
        <v>55</v>
      </c>
      <c r="C38" s="11" t="s">
        <v>111</v>
      </c>
      <c r="D38" s="13">
        <v>36169</v>
      </c>
      <c r="E38" s="12" t="s">
        <v>203</v>
      </c>
      <c r="F38" s="13" t="s">
        <v>203</v>
      </c>
      <c r="G38" s="13" t="s">
        <v>118</v>
      </c>
      <c r="H38" s="13">
        <v>44479</v>
      </c>
      <c r="I38" s="14">
        <v>0.84899388779060536</v>
      </c>
      <c r="J38" s="21">
        <v>0.89275989375976406</v>
      </c>
      <c r="K38" s="16">
        <v>298</v>
      </c>
      <c r="L38" s="20" t="str">
        <f t="shared" si="0"/>
        <v>יוסף רינה</v>
      </c>
      <c r="M38" s="49">
        <f t="shared" ca="1" si="1"/>
        <v>44935</v>
      </c>
      <c r="N38" s="50" cm="1">
        <f t="array" ref="N38">_xlfn.XLOOKUP(F38,Tickets!$B$4:$B$7,_xlfn.XLOOKUP(Students!G38,Tickets!$C$3:$E$3,Tickets!$C$4:$E$7,,0),,0)</f>
        <v>80</v>
      </c>
      <c r="O38" s="51">
        <f t="shared" si="2"/>
        <v>4.3766005969158694E-2</v>
      </c>
      <c r="P38" s="20">
        <f>_xlfn.XLOOKUP($E38,Tickets!$E$12:$E$20,Tickets!C$12:C$20,,0)</f>
        <v>25.4</v>
      </c>
      <c r="Q38" s="51">
        <f>_xlfn.XLOOKUP($E38,Tickets!$E$12:$E$20,Tickets!D$12:D$20,,0)</f>
        <v>2.7083333333333334E-2</v>
      </c>
      <c r="R38" s="50" cm="1">
        <f t="array" aca="1" ref="R38" ca="1">_xlfn.IFS(AND(U38&lt;=$Y$61,T38&lt;=$Z$61),$AA$61*_xlfn.XLOOKUP(F38,Tickets!$B$4:$B$7,Tickets!$E$4:$E$7,,0),OR(Students!T38&lt;=Students!$Z$62,Students!U38&gt;Students!$Y$63),Students!$AA$62*_xlfn.XLOOKUP(F38,Tickets!$B$4:$B$7,Tickets!$C$4:$C$7,,0),TRUE,0)</f>
        <v>220</v>
      </c>
      <c r="S38" s="48">
        <f t="shared" ca="1" si="3"/>
        <v>44570</v>
      </c>
      <c r="T38" s="45">
        <f t="shared" ca="1" si="4"/>
        <v>0.66666666666666663</v>
      </c>
      <c r="U38" s="52">
        <f t="shared" ca="1" si="5"/>
        <v>23.416666666666668</v>
      </c>
    </row>
    <row r="39" spans="1:27" x14ac:dyDescent="0.3">
      <c r="A39" s="11">
        <v>414198</v>
      </c>
      <c r="B39" s="11" t="s">
        <v>47</v>
      </c>
      <c r="C39" s="11" t="s">
        <v>102</v>
      </c>
      <c r="D39" s="13">
        <v>35273</v>
      </c>
      <c r="E39" s="12" t="s">
        <v>211</v>
      </c>
      <c r="F39" s="13" t="s">
        <v>204</v>
      </c>
      <c r="G39" s="13" t="s">
        <v>118</v>
      </c>
      <c r="H39" s="13">
        <v>43765</v>
      </c>
      <c r="I39" s="14">
        <v>0.95583138460425787</v>
      </c>
      <c r="J39" s="21">
        <v>4.3157311793355246E-2</v>
      </c>
      <c r="K39" s="16">
        <v>67</v>
      </c>
      <c r="L39" s="20" t="str">
        <f t="shared" si="0"/>
        <v>ביטון דפנה</v>
      </c>
      <c r="M39" s="49">
        <f t="shared" ca="1" si="1"/>
        <v>44769</v>
      </c>
      <c r="N39" s="50" cm="1">
        <f t="array" ref="N39">_xlfn.XLOOKUP(F39,Tickets!$B$4:$B$7,_xlfn.XLOOKUP(Students!G39,Tickets!$C$3:$E$3,Tickets!$C$4:$E$7,,0),,0)</f>
        <v>90</v>
      </c>
      <c r="O39" s="51">
        <f t="shared" si="2"/>
        <v>8.7325927189097374E-2</v>
      </c>
      <c r="P39" s="20">
        <f>_xlfn.XLOOKUP($E39,Tickets!$E$12:$E$20,Tickets!C$12:C$20,,0)</f>
        <v>14.7</v>
      </c>
      <c r="Q39" s="51">
        <f>_xlfn.XLOOKUP($E39,Tickets!$E$12:$E$20,Tickets!D$12:D$20,,0)</f>
        <v>1.6666666666666666E-2</v>
      </c>
      <c r="R39" s="50" cm="1">
        <f t="array" aca="1" ref="R39" ca="1">_xlfn.IFS(AND(U39&lt;=$Y$61,T39&lt;=$Z$61),$AA$61*_xlfn.XLOOKUP(F39,Tickets!$B$4:$B$7,Tickets!$E$4:$E$7,,0),OR(Students!T39&lt;=Students!$Z$62,Students!U39&gt;Students!$Y$63),Students!$AA$62*_xlfn.XLOOKUP(F39,Tickets!$B$4:$B$7,Tickets!$C$4:$C$7,,0),TRUE,0)</f>
        <v>210</v>
      </c>
      <c r="S39" s="48">
        <f t="shared" ca="1" si="3"/>
        <v>44769</v>
      </c>
      <c r="T39" s="45">
        <f t="shared" ca="1" si="4"/>
        <v>2.5833333333333335</v>
      </c>
      <c r="U39" s="52">
        <f t="shared" ca="1" si="5"/>
        <v>25.833333333333332</v>
      </c>
      <c r="X39" s="115" t="s">
        <v>241</v>
      </c>
      <c r="Y39" s="115"/>
      <c r="Z39" s="115" t="b">
        <f>AND($K3&gt;$X$37,$I3&gt;$Y$37,$J3&gt;$Z$37)</f>
        <v>0</v>
      </c>
    </row>
    <row r="40" spans="1:27" x14ac:dyDescent="0.3">
      <c r="A40" s="11">
        <v>447672</v>
      </c>
      <c r="B40" s="11" t="s">
        <v>22</v>
      </c>
      <c r="C40" s="11" t="s">
        <v>75</v>
      </c>
      <c r="D40" s="13">
        <v>35077</v>
      </c>
      <c r="E40" s="12" t="s">
        <v>212</v>
      </c>
      <c r="F40" s="13" t="s">
        <v>202</v>
      </c>
      <c r="G40" s="13" t="s">
        <v>119</v>
      </c>
      <c r="H40" s="13">
        <v>44122</v>
      </c>
      <c r="I40" s="14">
        <v>0.93218924208600829</v>
      </c>
      <c r="J40" s="21">
        <v>7.8250421625383648E-2</v>
      </c>
      <c r="K40" s="16">
        <v>192</v>
      </c>
      <c r="L40" s="20" t="str">
        <f t="shared" si="0"/>
        <v>ברקאי גיא</v>
      </c>
      <c r="M40" s="49">
        <f t="shared" ca="1" si="1"/>
        <v>44939</v>
      </c>
      <c r="N40" s="50" cm="1">
        <f t="array" ref="N40">_xlfn.XLOOKUP(F40,Tickets!$B$4:$B$7,_xlfn.XLOOKUP(Students!G40,Tickets!$C$3:$E$3,Tickets!$C$4:$E$7,,0),,0)</f>
        <v>120</v>
      </c>
      <c r="O40" s="51">
        <f t="shared" si="2"/>
        <v>0.14606117953937536</v>
      </c>
      <c r="P40" s="20">
        <f>_xlfn.XLOOKUP($E40,Tickets!$E$12:$E$20,Tickets!C$12:C$20,,0)</f>
        <v>45.5</v>
      </c>
      <c r="Q40" s="51">
        <f>_xlfn.XLOOKUP($E40,Tickets!$E$12:$E$20,Tickets!D$12:D$20,,0)</f>
        <v>3.125E-2</v>
      </c>
      <c r="R40" s="50" cm="1">
        <f t="array" aca="1" ref="R40" ca="1">_xlfn.IFS(AND(U40&lt;=$Y$61,T40&lt;=$Z$61),$AA$61*_xlfn.XLOOKUP(F40,Tickets!$B$4:$B$7,Tickets!$E$4:$E$7,,0),OR(Students!T40&lt;=Students!$Z$62,Students!U40&gt;Students!$Y$63),Students!$AA$62*_xlfn.XLOOKUP(F40,Tickets!$B$4:$B$7,Tickets!$C$4:$C$7,,0),TRUE,0)</f>
        <v>150</v>
      </c>
      <c r="S40" s="48">
        <f t="shared" ca="1" si="3"/>
        <v>44574</v>
      </c>
      <c r="T40" s="45">
        <f t="shared" ca="1" si="4"/>
        <v>1.5833333333333333</v>
      </c>
      <c r="U40" s="52">
        <f t="shared" ca="1" si="5"/>
        <v>26.416666666666668</v>
      </c>
    </row>
    <row r="41" spans="1:27" x14ac:dyDescent="0.3">
      <c r="A41" s="11">
        <v>948010</v>
      </c>
      <c r="B41" s="11" t="s">
        <v>31</v>
      </c>
      <c r="C41" s="11" t="s">
        <v>108</v>
      </c>
      <c r="D41" s="13">
        <v>36498</v>
      </c>
      <c r="E41" s="12" t="s">
        <v>208</v>
      </c>
      <c r="F41" s="13" t="s">
        <v>202</v>
      </c>
      <c r="G41" s="13" t="s">
        <v>118</v>
      </c>
      <c r="H41" s="13">
        <v>44479</v>
      </c>
      <c r="I41" s="14">
        <v>0.9244921763068179</v>
      </c>
      <c r="J41" s="21">
        <v>4.5724601693937217E-3</v>
      </c>
      <c r="K41" s="16">
        <v>213</v>
      </c>
      <c r="L41" s="20" t="str">
        <f t="shared" si="0"/>
        <v>לביא אריה</v>
      </c>
      <c r="M41" s="49">
        <f t="shared" ca="1" si="1"/>
        <v>44899</v>
      </c>
      <c r="N41" s="50" cm="1">
        <f t="array" ref="N41">_xlfn.XLOOKUP(F41,Tickets!$B$4:$B$7,_xlfn.XLOOKUP(Students!G41,Tickets!$C$3:$E$3,Tickets!$C$4:$E$7,,0),,0)</f>
        <v>70</v>
      </c>
      <c r="O41" s="51">
        <f t="shared" si="2"/>
        <v>8.0080283862575818E-2</v>
      </c>
      <c r="P41" s="20">
        <f>_xlfn.XLOOKUP($E41,Tickets!$E$12:$E$20,Tickets!C$12:C$20,,0)</f>
        <v>29.7</v>
      </c>
      <c r="Q41" s="51">
        <f>_xlfn.XLOOKUP($E41,Tickets!$E$12:$E$20,Tickets!D$12:D$20,,0)</f>
        <v>1.8749999999999999E-2</v>
      </c>
      <c r="R41" s="50" cm="1">
        <f t="array" aca="1" ref="R41" ca="1">_xlfn.IFS(AND(U41&lt;=$Y$61,T41&lt;=$Z$61),$AA$61*_xlfn.XLOOKUP(F41,Tickets!$B$4:$B$7,Tickets!$E$4:$E$7,,0),OR(Students!T41&lt;=Students!$Z$62,Students!U41&gt;Students!$Y$63),Students!$AA$62*_xlfn.XLOOKUP(F41,Tickets!$B$4:$B$7,Tickets!$C$4:$C$7,,0),TRUE,0)</f>
        <v>240</v>
      </c>
      <c r="S41" s="48">
        <f t="shared" ca="1" si="3"/>
        <v>44899</v>
      </c>
      <c r="T41" s="45">
        <f t="shared" ca="1" si="4"/>
        <v>0.66666666666666663</v>
      </c>
      <c r="U41" s="52">
        <f t="shared" ca="1" si="5"/>
        <v>22.5</v>
      </c>
    </row>
    <row r="42" spans="1:27" x14ac:dyDescent="0.3">
      <c r="A42" s="11">
        <v>954069</v>
      </c>
      <c r="B42" s="11" t="s">
        <v>6</v>
      </c>
      <c r="C42" s="11" t="s">
        <v>87</v>
      </c>
      <c r="D42" s="13">
        <v>36612</v>
      </c>
      <c r="E42" s="12" t="s">
        <v>210</v>
      </c>
      <c r="F42" s="13" t="s">
        <v>196</v>
      </c>
      <c r="G42" s="13" t="s">
        <v>119</v>
      </c>
      <c r="H42" s="13">
        <v>44479</v>
      </c>
      <c r="I42" s="14">
        <v>0.85710896980463414</v>
      </c>
      <c r="J42" s="21">
        <v>0.91406829291516811</v>
      </c>
      <c r="K42" s="16">
        <v>369</v>
      </c>
      <c r="L42" s="20" t="str">
        <f t="shared" si="0"/>
        <v>ברמן הדר</v>
      </c>
      <c r="M42" s="49">
        <f t="shared" ca="1" si="1"/>
        <v>45012</v>
      </c>
      <c r="N42" s="50" cm="1">
        <f t="array" ref="N42">_xlfn.XLOOKUP(F42,Tickets!$B$4:$B$7,_xlfn.XLOOKUP(Students!G42,Tickets!$C$3:$E$3,Tickets!$C$4:$E$7,,0),,0)</f>
        <v>130</v>
      </c>
      <c r="O42" s="51">
        <f t="shared" si="2"/>
        <v>5.6959323110533977E-2</v>
      </c>
      <c r="P42" s="20">
        <f>_xlfn.XLOOKUP($E42,Tickets!$E$12:$E$20,Tickets!C$12:C$20,,0)</f>
        <v>19.899999999999999</v>
      </c>
      <c r="Q42" s="51">
        <f>_xlfn.XLOOKUP($E42,Tickets!$E$12:$E$20,Tickets!D$12:D$20,,0)</f>
        <v>1.9444444444444445E-2</v>
      </c>
      <c r="R42" s="50" cm="1">
        <f t="array" aca="1" ref="R42" ca="1">_xlfn.IFS(AND(U42&lt;=$Y$61,T42&lt;=$Z$61),$AA$61*_xlfn.XLOOKUP(F42,Tickets!$B$4:$B$7,Tickets!$E$4:$E$7,,0),OR(Students!T42&lt;=Students!$Z$62,Students!U42&gt;Students!$Y$63),Students!$AA$62*_xlfn.XLOOKUP(F42,Tickets!$B$4:$B$7,Tickets!$C$4:$C$7,,0),TRUE,0)</f>
        <v>260</v>
      </c>
      <c r="S42" s="48">
        <f t="shared" ca="1" si="3"/>
        <v>44647</v>
      </c>
      <c r="T42" s="45">
        <f t="shared" ca="1" si="4"/>
        <v>0.66666666666666663</v>
      </c>
      <c r="U42" s="52">
        <f t="shared" ca="1" si="5"/>
        <v>22.166666666666668</v>
      </c>
    </row>
    <row r="43" spans="1:27" x14ac:dyDescent="0.3">
      <c r="A43" s="11">
        <v>741713</v>
      </c>
      <c r="B43" s="11" t="s">
        <v>34</v>
      </c>
      <c r="C43" s="11" t="s">
        <v>89</v>
      </c>
      <c r="D43" s="13">
        <v>36385</v>
      </c>
      <c r="E43" s="12" t="s">
        <v>210</v>
      </c>
      <c r="F43" s="13" t="s">
        <v>202</v>
      </c>
      <c r="G43" s="13" t="s">
        <v>117</v>
      </c>
      <c r="H43" s="13">
        <v>44479</v>
      </c>
      <c r="I43" s="14">
        <v>0.91097659935360342</v>
      </c>
      <c r="J43" s="21">
        <v>0.96233306222722492</v>
      </c>
      <c r="K43" s="16">
        <v>204</v>
      </c>
      <c r="L43" s="20" t="str">
        <f t="shared" si="0"/>
        <v>חדיף לילי</v>
      </c>
      <c r="M43" s="49">
        <f t="shared" ca="1" si="1"/>
        <v>44786</v>
      </c>
      <c r="N43" s="50" cm="1">
        <f t="array" ref="N43">_xlfn.XLOOKUP(F43,Tickets!$B$4:$B$7,_xlfn.XLOOKUP(Students!G43,Tickets!$C$3:$E$3,Tickets!$C$4:$E$7,,0),,0)</f>
        <v>50</v>
      </c>
      <c r="O43" s="51">
        <f t="shared" si="2"/>
        <v>5.13564628736215E-2</v>
      </c>
      <c r="P43" s="20">
        <f>_xlfn.XLOOKUP($E43,Tickets!$E$12:$E$20,Tickets!C$12:C$20,,0)</f>
        <v>19.899999999999999</v>
      </c>
      <c r="Q43" s="51">
        <f>_xlfn.XLOOKUP($E43,Tickets!$E$12:$E$20,Tickets!D$12:D$20,,0)</f>
        <v>1.9444444444444445E-2</v>
      </c>
      <c r="R43" s="50" cm="1">
        <f t="array" aca="1" ref="R43" ca="1">_xlfn.IFS(AND(U43&lt;=$Y$61,T43&lt;=$Z$61),$AA$61*_xlfn.XLOOKUP(F43,Tickets!$B$4:$B$7,Tickets!$E$4:$E$7,,0),OR(Students!T43&lt;=Students!$Z$62,Students!U43&gt;Students!$Y$63),Students!$AA$62*_xlfn.XLOOKUP(F43,Tickets!$B$4:$B$7,Tickets!$C$4:$C$7,,0),TRUE,0)</f>
        <v>240</v>
      </c>
      <c r="S43" s="48">
        <f t="shared" ca="1" si="3"/>
        <v>44786</v>
      </c>
      <c r="T43" s="45">
        <f t="shared" ca="1" si="4"/>
        <v>0.66666666666666663</v>
      </c>
      <c r="U43" s="52">
        <f t="shared" ca="1" si="5"/>
        <v>22.833333333333332</v>
      </c>
    </row>
    <row r="44" spans="1:27" x14ac:dyDescent="0.3">
      <c r="A44" s="11">
        <v>660737</v>
      </c>
      <c r="B44" s="11" t="s">
        <v>16</v>
      </c>
      <c r="C44" s="11" t="s">
        <v>70</v>
      </c>
      <c r="D44" s="13">
        <v>34832</v>
      </c>
      <c r="E44" s="12" t="s">
        <v>211</v>
      </c>
      <c r="F44" s="13" t="s">
        <v>203</v>
      </c>
      <c r="G44" s="13" t="s">
        <v>119</v>
      </c>
      <c r="H44" s="13">
        <v>43765</v>
      </c>
      <c r="I44" s="14">
        <v>0.79642054970172316</v>
      </c>
      <c r="J44" s="21">
        <v>0.85500605300513188</v>
      </c>
      <c r="K44" s="16">
        <v>300</v>
      </c>
      <c r="L44" s="20" t="str">
        <f t="shared" si="0"/>
        <v>כנען זשי</v>
      </c>
      <c r="M44" s="49">
        <f t="shared" ca="1" si="1"/>
        <v>45059</v>
      </c>
      <c r="N44" s="50" cm="1">
        <f t="array" ref="N44">_xlfn.XLOOKUP(F44,Tickets!$B$4:$B$7,_xlfn.XLOOKUP(Students!G44,Tickets!$C$3:$E$3,Tickets!$C$4:$E$7,,0),,0)</f>
        <v>110</v>
      </c>
      <c r="O44" s="51">
        <f t="shared" si="2"/>
        <v>5.8585503303408726E-2</v>
      </c>
      <c r="P44" s="20">
        <f>_xlfn.XLOOKUP($E44,Tickets!$E$12:$E$20,Tickets!C$12:C$20,,0)</f>
        <v>14.7</v>
      </c>
      <c r="Q44" s="51">
        <f>_xlfn.XLOOKUP($E44,Tickets!$E$12:$E$20,Tickets!D$12:D$20,,0)</f>
        <v>1.6666666666666666E-2</v>
      </c>
      <c r="R44" s="50" cm="1">
        <f t="array" aca="1" ref="R44" ca="1">_xlfn.IFS(AND(U44&lt;=$Y$61,T44&lt;=$Z$61),$AA$61*_xlfn.XLOOKUP(F44,Tickets!$B$4:$B$7,Tickets!$E$4:$E$7,,0),OR(Students!T44&lt;=Students!$Z$62,Students!U44&gt;Students!$Y$63),Students!$AA$62*_xlfn.XLOOKUP(F44,Tickets!$B$4:$B$7,Tickets!$C$4:$C$7,,0),TRUE,0)</f>
        <v>180</v>
      </c>
      <c r="S44" s="48">
        <f t="shared" ca="1" si="3"/>
        <v>44694</v>
      </c>
      <c r="T44" s="45">
        <f t="shared" ca="1" si="4"/>
        <v>2.5833333333333335</v>
      </c>
      <c r="U44" s="52">
        <f t="shared" ca="1" si="5"/>
        <v>27.083333333333332</v>
      </c>
    </row>
    <row r="45" spans="1:27" x14ac:dyDescent="0.3">
      <c r="A45" s="11">
        <v>140221</v>
      </c>
      <c r="B45" s="11" t="s">
        <v>36</v>
      </c>
      <c r="C45" s="11" t="s">
        <v>91</v>
      </c>
      <c r="D45" s="13">
        <v>35298</v>
      </c>
      <c r="E45" s="12" t="s">
        <v>210</v>
      </c>
      <c r="F45" s="13" t="s">
        <v>202</v>
      </c>
      <c r="G45" s="13" t="s">
        <v>117</v>
      </c>
      <c r="H45" s="13">
        <v>44122</v>
      </c>
      <c r="I45" s="14">
        <v>0.9799450780689356</v>
      </c>
      <c r="J45" s="21">
        <v>0.1238656576580941</v>
      </c>
      <c r="K45" s="16">
        <v>377</v>
      </c>
      <c r="L45" s="20" t="str">
        <f t="shared" si="0"/>
        <v>גביש אלכס</v>
      </c>
      <c r="M45" s="49">
        <f t="shared" ca="1" si="1"/>
        <v>44794</v>
      </c>
      <c r="N45" s="50" cm="1">
        <f t="array" ref="N45">_xlfn.XLOOKUP(F45,Tickets!$B$4:$B$7,_xlfn.XLOOKUP(Students!G45,Tickets!$C$3:$E$3,Tickets!$C$4:$E$7,,0),,0)</f>
        <v>50</v>
      </c>
      <c r="O45" s="51">
        <f t="shared" si="2"/>
        <v>0.14392057958915849</v>
      </c>
      <c r="P45" s="20">
        <f>_xlfn.XLOOKUP($E45,Tickets!$E$12:$E$20,Tickets!C$12:C$20,,0)</f>
        <v>19.899999999999999</v>
      </c>
      <c r="Q45" s="51">
        <f>_xlfn.XLOOKUP($E45,Tickets!$E$12:$E$20,Tickets!D$12:D$20,,0)</f>
        <v>1.9444444444444445E-2</v>
      </c>
      <c r="R45" s="50" cm="1">
        <f t="array" aca="1" ref="R45" ca="1">_xlfn.IFS(AND(U45&lt;=$Y$61,T45&lt;=$Z$61),$AA$61*_xlfn.XLOOKUP(F45,Tickets!$B$4:$B$7,Tickets!$E$4:$E$7,,0),OR(Students!T45&lt;=Students!$Z$62,Students!U45&gt;Students!$Y$63),Students!$AA$62*_xlfn.XLOOKUP(F45,Tickets!$B$4:$B$7,Tickets!$C$4:$C$7,,0),TRUE,0)</f>
        <v>150</v>
      </c>
      <c r="S45" s="48">
        <f t="shared" ca="1" si="3"/>
        <v>44794</v>
      </c>
      <c r="T45" s="45">
        <f t="shared" ca="1" si="4"/>
        <v>1.5833333333333333</v>
      </c>
      <c r="U45" s="52">
        <f t="shared" ca="1" si="5"/>
        <v>25.75</v>
      </c>
    </row>
    <row r="46" spans="1:27" x14ac:dyDescent="0.3">
      <c r="A46" s="11">
        <v>550654</v>
      </c>
      <c r="B46" s="11" t="s">
        <v>48</v>
      </c>
      <c r="C46" s="11" t="s">
        <v>103</v>
      </c>
      <c r="D46" s="13">
        <v>35730</v>
      </c>
      <c r="E46" s="12" t="s">
        <v>209</v>
      </c>
      <c r="F46" s="13" t="s">
        <v>204</v>
      </c>
      <c r="G46" s="13" t="s">
        <v>119</v>
      </c>
      <c r="H46" s="13">
        <v>44122</v>
      </c>
      <c r="I46" s="14">
        <v>0.89323508280692199</v>
      </c>
      <c r="J46" s="21">
        <v>0.97473868221544924</v>
      </c>
      <c r="K46" s="16">
        <v>232</v>
      </c>
      <c r="L46" s="20" t="str">
        <f t="shared" si="0"/>
        <v>ירדן רן</v>
      </c>
      <c r="M46" s="49">
        <f t="shared" ca="1" si="1"/>
        <v>44861</v>
      </c>
      <c r="N46" s="50" cm="1">
        <f t="array" ref="N46">_xlfn.XLOOKUP(F46,Tickets!$B$4:$B$7,_xlfn.XLOOKUP(Students!G46,Tickets!$C$3:$E$3,Tickets!$C$4:$E$7,,0),,0)</f>
        <v>100</v>
      </c>
      <c r="O46" s="51">
        <f t="shared" si="2"/>
        <v>8.150359940852725E-2</v>
      </c>
      <c r="P46" s="20">
        <f>_xlfn.XLOOKUP($E46,Tickets!$E$12:$E$20,Tickets!C$12:C$20,,0)</f>
        <v>3.3</v>
      </c>
      <c r="Q46" s="51">
        <f>_xlfn.XLOOKUP($E46,Tickets!$E$12:$E$20,Tickets!D$12:D$20,,0)</f>
        <v>5.5555555555555558E-3</v>
      </c>
      <c r="R46" s="50" cm="1">
        <f t="array" aca="1" ref="R46" ca="1">_xlfn.IFS(AND(U46&lt;=$Y$61,T46&lt;=$Z$61),$AA$61*_xlfn.XLOOKUP(F46,Tickets!$B$4:$B$7,Tickets!$E$4:$E$7,,0),OR(Students!T46&lt;=Students!$Z$62,Students!U46&gt;Students!$Y$63),Students!$AA$62*_xlfn.XLOOKUP(F46,Tickets!$B$4:$B$7,Tickets!$C$4:$C$7,,0),TRUE,0)</f>
        <v>210</v>
      </c>
      <c r="S46" s="48">
        <f t="shared" ca="1" si="3"/>
        <v>44861</v>
      </c>
      <c r="T46" s="45">
        <f t="shared" ca="1" si="4"/>
        <v>1.5833333333333333</v>
      </c>
      <c r="U46" s="52">
        <f t="shared" ca="1" si="5"/>
        <v>24.583333333333332</v>
      </c>
    </row>
    <row r="47" spans="1:27" x14ac:dyDescent="0.3">
      <c r="A47" s="11">
        <v>693990</v>
      </c>
      <c r="B47" s="11" t="s">
        <v>25</v>
      </c>
      <c r="C47" s="11" t="s">
        <v>78</v>
      </c>
      <c r="D47" s="13">
        <v>34710</v>
      </c>
      <c r="E47" s="12" t="s">
        <v>210</v>
      </c>
      <c r="F47" s="13" t="s">
        <v>196</v>
      </c>
      <c r="G47" s="13" t="s">
        <v>119</v>
      </c>
      <c r="H47" s="13">
        <v>43387</v>
      </c>
      <c r="I47" s="14">
        <v>0.93847945277267275</v>
      </c>
      <c r="J47" s="21">
        <v>6.9541989903841417E-2</v>
      </c>
      <c r="K47" s="16">
        <v>415</v>
      </c>
      <c r="L47" s="20" t="str">
        <f t="shared" si="0"/>
        <v>חרמון אוהד</v>
      </c>
      <c r="M47" s="49">
        <f t="shared" ca="1" si="1"/>
        <v>44937</v>
      </c>
      <c r="N47" s="50" cm="1">
        <f t="array" ref="N47">_xlfn.XLOOKUP(F47,Tickets!$B$4:$B$7,_xlfn.XLOOKUP(Students!G47,Tickets!$C$3:$E$3,Tickets!$C$4:$E$7,,0),,0)</f>
        <v>130</v>
      </c>
      <c r="O47" s="51">
        <f t="shared" si="2"/>
        <v>0.13106253713116867</v>
      </c>
      <c r="P47" s="20">
        <f>_xlfn.XLOOKUP($E47,Tickets!$E$12:$E$20,Tickets!C$12:C$20,,0)</f>
        <v>19.899999999999999</v>
      </c>
      <c r="Q47" s="51">
        <f>_xlfn.XLOOKUP($E47,Tickets!$E$12:$E$20,Tickets!D$12:D$20,,0)</f>
        <v>1.9444444444444445E-2</v>
      </c>
      <c r="R47" s="50" cm="1">
        <f t="array" aca="1" ref="R47" ca="1">_xlfn.IFS(AND(U47&lt;=$Y$61,T47&lt;=$Z$61),$AA$61*_xlfn.XLOOKUP(F47,Tickets!$B$4:$B$7,Tickets!$E$4:$E$7,,0),OR(Students!T47&lt;=Students!$Z$62,Students!U47&gt;Students!$Y$63),Students!$AA$62*_xlfn.XLOOKUP(F47,Tickets!$B$4:$B$7,Tickets!$C$4:$C$7,,0),TRUE,0)</f>
        <v>120</v>
      </c>
      <c r="S47" s="48">
        <f t="shared" ca="1" si="3"/>
        <v>44572</v>
      </c>
      <c r="T47" s="45">
        <f t="shared" ca="1" si="4"/>
        <v>3.5833333333333335</v>
      </c>
      <c r="U47" s="52">
        <f t="shared" ca="1" si="5"/>
        <v>27.416666666666668</v>
      </c>
    </row>
    <row r="48" spans="1:27" x14ac:dyDescent="0.3">
      <c r="A48" s="11">
        <v>673900</v>
      </c>
      <c r="B48" s="11" t="s">
        <v>23</v>
      </c>
      <c r="C48" s="11" t="s">
        <v>76</v>
      </c>
      <c r="D48" s="13">
        <v>36075</v>
      </c>
      <c r="E48" s="12" t="s">
        <v>208</v>
      </c>
      <c r="F48" s="13" t="s">
        <v>203</v>
      </c>
      <c r="G48" s="13" t="s">
        <v>119</v>
      </c>
      <c r="H48" s="13">
        <v>44479</v>
      </c>
      <c r="I48" s="14">
        <v>0.99883896467108269</v>
      </c>
      <c r="J48" s="21">
        <v>9.9730029296440259E-2</v>
      </c>
      <c r="K48" s="16">
        <v>483</v>
      </c>
      <c r="L48" s="20" t="str">
        <f t="shared" si="0"/>
        <v>פיק אילנה</v>
      </c>
      <c r="M48" s="49">
        <f t="shared" ca="1" si="1"/>
        <v>44841</v>
      </c>
      <c r="N48" s="50" cm="1">
        <f t="array" ref="N48">_xlfn.XLOOKUP(F48,Tickets!$B$4:$B$7,_xlfn.XLOOKUP(Students!G48,Tickets!$C$3:$E$3,Tickets!$C$4:$E$7,,0),,0)</f>
        <v>110</v>
      </c>
      <c r="O48" s="51">
        <f t="shared" si="2"/>
        <v>0.10089106462535757</v>
      </c>
      <c r="P48" s="20">
        <f>_xlfn.XLOOKUP($E48,Tickets!$E$12:$E$20,Tickets!C$12:C$20,,0)</f>
        <v>29.7</v>
      </c>
      <c r="Q48" s="51">
        <f>_xlfn.XLOOKUP($E48,Tickets!$E$12:$E$20,Tickets!D$12:D$20,,0)</f>
        <v>1.8749999999999999E-2</v>
      </c>
      <c r="R48" s="50" cm="1">
        <f t="array" aca="1" ref="R48" ca="1">_xlfn.IFS(AND(U48&lt;=$Y$61,T48&lt;=$Z$61),$AA$61*_xlfn.XLOOKUP(F48,Tickets!$B$4:$B$7,Tickets!$E$4:$E$7,,0),OR(Students!T48&lt;=Students!$Z$62,Students!U48&gt;Students!$Y$63),Students!$AA$62*_xlfn.XLOOKUP(F48,Tickets!$B$4:$B$7,Tickets!$C$4:$C$7,,0),TRUE,0)</f>
        <v>220</v>
      </c>
      <c r="S48" s="48">
        <f t="shared" ca="1" si="3"/>
        <v>44841</v>
      </c>
      <c r="T48" s="45">
        <f t="shared" ca="1" si="4"/>
        <v>0.66666666666666663</v>
      </c>
      <c r="U48" s="52">
        <f t="shared" ca="1" si="5"/>
        <v>23.666666666666668</v>
      </c>
    </row>
    <row r="49" spans="1:28" x14ac:dyDescent="0.3">
      <c r="A49" s="11">
        <v>719070</v>
      </c>
      <c r="B49" s="11" t="s">
        <v>14</v>
      </c>
      <c r="C49" s="11" t="s">
        <v>68</v>
      </c>
      <c r="D49" s="13">
        <v>36704</v>
      </c>
      <c r="E49" s="12" t="s">
        <v>203</v>
      </c>
      <c r="F49" s="13" t="s">
        <v>203</v>
      </c>
      <c r="G49" s="13" t="s">
        <v>118</v>
      </c>
      <c r="H49" s="13">
        <v>43387</v>
      </c>
      <c r="I49" s="14">
        <v>0.98664030157204219</v>
      </c>
      <c r="J49" s="21">
        <v>0.10874941996354037</v>
      </c>
      <c r="K49" s="16">
        <v>29</v>
      </c>
      <c r="L49" s="20" t="str">
        <f t="shared" si="0"/>
        <v>סגל מרים</v>
      </c>
      <c r="M49" s="49">
        <f t="shared" ca="1" si="1"/>
        <v>44739</v>
      </c>
      <c r="N49" s="50" cm="1">
        <f t="array" ref="N49">_xlfn.XLOOKUP(F49,Tickets!$B$4:$B$7,_xlfn.XLOOKUP(Students!G49,Tickets!$C$3:$E$3,Tickets!$C$4:$E$7,,0),,0)</f>
        <v>80</v>
      </c>
      <c r="O49" s="51">
        <f t="shared" si="2"/>
        <v>0.12210911839149818</v>
      </c>
      <c r="P49" s="20">
        <f>_xlfn.XLOOKUP($E49,Tickets!$E$12:$E$20,Tickets!C$12:C$20,,0)</f>
        <v>25.4</v>
      </c>
      <c r="Q49" s="51">
        <f>_xlfn.XLOOKUP($E49,Tickets!$E$12:$E$20,Tickets!D$12:D$20,,0)</f>
        <v>2.7083333333333334E-2</v>
      </c>
      <c r="R49" s="50" cm="1">
        <f t="array" aca="1" ref="R49" ca="1">_xlfn.IFS(AND(U49&lt;=$Y$61,T49&lt;=$Z$61),$AA$61*_xlfn.XLOOKUP(F49,Tickets!$B$4:$B$7,Tickets!$E$4:$E$7,,0),OR(Students!T49&lt;=Students!$Z$62,Students!U49&gt;Students!$Y$63),Students!$AA$62*_xlfn.XLOOKUP(F49,Tickets!$B$4:$B$7,Tickets!$C$4:$C$7,,0),TRUE,0)</f>
        <v>0</v>
      </c>
      <c r="S49" s="48">
        <f t="shared" ca="1" si="3"/>
        <v>44739</v>
      </c>
      <c r="T49" s="45">
        <f t="shared" ca="1" si="4"/>
        <v>3.5833333333333335</v>
      </c>
      <c r="U49" s="52">
        <f t="shared" ca="1" si="5"/>
        <v>21.916666666666668</v>
      </c>
    </row>
    <row r="50" spans="1:28" x14ac:dyDescent="0.3">
      <c r="A50" s="11">
        <v>706629</v>
      </c>
      <c r="B50" s="11" t="s">
        <v>11</v>
      </c>
      <c r="C50" s="11" t="s">
        <v>66</v>
      </c>
      <c r="D50" s="13">
        <v>35953</v>
      </c>
      <c r="E50" s="12" t="s">
        <v>209</v>
      </c>
      <c r="F50" s="13" t="s">
        <v>204</v>
      </c>
      <c r="G50" s="13" t="s">
        <v>118</v>
      </c>
      <c r="H50" s="13">
        <v>43387</v>
      </c>
      <c r="I50" s="14">
        <v>0.78761151197225931</v>
      </c>
      <c r="J50" s="21">
        <v>0.8918268989810052</v>
      </c>
      <c r="K50" s="16">
        <v>307</v>
      </c>
      <c r="L50" s="20" t="str">
        <f t="shared" si="0"/>
        <v>כהן רחל</v>
      </c>
      <c r="M50" s="49">
        <f t="shared" ca="1" si="1"/>
        <v>45084</v>
      </c>
      <c r="N50" s="50" cm="1">
        <f t="array" ref="N50">_xlfn.XLOOKUP(F50,Tickets!$B$4:$B$7,_xlfn.XLOOKUP(Students!G50,Tickets!$C$3:$E$3,Tickets!$C$4:$E$7,,0),,0)</f>
        <v>90</v>
      </c>
      <c r="O50" s="51">
        <f t="shared" si="2"/>
        <v>0.10421538700874589</v>
      </c>
      <c r="P50" s="20">
        <f>_xlfn.XLOOKUP($E50,Tickets!$E$12:$E$20,Tickets!C$12:C$20,,0)</f>
        <v>3.3</v>
      </c>
      <c r="Q50" s="51">
        <f>_xlfn.XLOOKUP($E50,Tickets!$E$12:$E$20,Tickets!D$12:D$20,,0)</f>
        <v>5.5555555555555558E-3</v>
      </c>
      <c r="R50" s="50" cm="1">
        <f t="array" aca="1" ref="R50" ca="1">_xlfn.IFS(AND(U50&lt;=$Y$61,T50&lt;=$Z$61),$AA$61*_xlfn.XLOOKUP(F50,Tickets!$B$4:$B$7,Tickets!$E$4:$E$7,,0),OR(Students!T50&lt;=Students!$Z$62,Students!U50&gt;Students!$Y$63),Students!$AA$62*_xlfn.XLOOKUP(F50,Tickets!$B$4:$B$7,Tickets!$C$4:$C$7,,0),TRUE,0)</f>
        <v>0</v>
      </c>
      <c r="S50" s="48">
        <f t="shared" ca="1" si="3"/>
        <v>44719</v>
      </c>
      <c r="T50" s="45">
        <f t="shared" ca="1" si="4"/>
        <v>3.5833333333333335</v>
      </c>
      <c r="U50" s="52">
        <f t="shared" ca="1" si="5"/>
        <v>24</v>
      </c>
    </row>
    <row r="51" spans="1:28" x14ac:dyDescent="0.3">
      <c r="A51" s="11">
        <v>398321</v>
      </c>
      <c r="B51" s="11" t="s">
        <v>33</v>
      </c>
      <c r="C51" s="11" t="s">
        <v>88</v>
      </c>
      <c r="D51" s="13">
        <v>34969</v>
      </c>
      <c r="E51" s="12" t="s">
        <v>207</v>
      </c>
      <c r="F51" s="13" t="s">
        <v>203</v>
      </c>
      <c r="G51" s="13" t="s">
        <v>117</v>
      </c>
      <c r="H51" s="13">
        <v>44122</v>
      </c>
      <c r="I51" s="14">
        <v>0.99727573155654792</v>
      </c>
      <c r="J51" s="21">
        <v>9.7472421106007401E-2</v>
      </c>
      <c r="K51" s="16">
        <v>357</v>
      </c>
      <c r="L51" s="20" t="str">
        <f t="shared" si="0"/>
        <v>צוק יוני</v>
      </c>
      <c r="M51" s="49">
        <f t="shared" ca="1" si="1"/>
        <v>44831</v>
      </c>
      <c r="N51" s="50" cm="1">
        <f t="array" ref="N51">_xlfn.XLOOKUP(F51,Tickets!$B$4:$B$7,_xlfn.XLOOKUP(Students!G51,Tickets!$C$3:$E$3,Tickets!$C$4:$E$7,,0),,0)</f>
        <v>60</v>
      </c>
      <c r="O51" s="51">
        <f t="shared" si="2"/>
        <v>0.10019668954945948</v>
      </c>
      <c r="P51" s="20">
        <f>_xlfn.XLOOKUP($E51,Tickets!$E$12:$E$20,Tickets!C$12:C$20,,0)</f>
        <v>31.7</v>
      </c>
      <c r="Q51" s="51">
        <f>_xlfn.XLOOKUP($E51,Tickets!$E$12:$E$20,Tickets!D$12:D$20,,0)</f>
        <v>2.013888888888889E-2</v>
      </c>
      <c r="R51" s="50" cm="1">
        <f t="array" aca="1" ref="R51" ca="1">_xlfn.IFS(AND(U51&lt;=$Y$61,T51&lt;=$Z$61),$AA$61*_xlfn.XLOOKUP(F51,Tickets!$B$4:$B$7,Tickets!$E$4:$E$7,,0),OR(Students!T51&lt;=Students!$Z$62,Students!U51&gt;Students!$Y$63),Students!$AA$62*_xlfn.XLOOKUP(F51,Tickets!$B$4:$B$7,Tickets!$C$4:$C$7,,0),TRUE,0)</f>
        <v>180</v>
      </c>
      <c r="S51" s="48">
        <f t="shared" ca="1" si="3"/>
        <v>44831</v>
      </c>
      <c r="T51" s="45">
        <f t="shared" ca="1" si="4"/>
        <v>1.5833333333333333</v>
      </c>
      <c r="U51" s="52">
        <f t="shared" ca="1" si="5"/>
        <v>26.666666666666668</v>
      </c>
    </row>
    <row r="52" spans="1:28" x14ac:dyDescent="0.3">
      <c r="A52" s="11">
        <v>903578</v>
      </c>
      <c r="B52" s="11" t="s">
        <v>15</v>
      </c>
      <c r="C52" s="11" t="s">
        <v>69</v>
      </c>
      <c r="D52" s="13">
        <v>35379</v>
      </c>
      <c r="E52" s="12" t="s">
        <v>212</v>
      </c>
      <c r="F52" s="13" t="s">
        <v>196</v>
      </c>
      <c r="G52" s="13" t="s">
        <v>118</v>
      </c>
      <c r="H52" s="13">
        <v>43387</v>
      </c>
      <c r="I52" s="14">
        <v>0.97366371914889083</v>
      </c>
      <c r="J52" s="21">
        <v>4.076389484149967E-2</v>
      </c>
      <c r="K52" s="16">
        <v>140</v>
      </c>
      <c r="L52" s="20" t="str">
        <f t="shared" si="0"/>
        <v>זהבי זיו</v>
      </c>
      <c r="M52" s="49">
        <f t="shared" ca="1" si="1"/>
        <v>44875</v>
      </c>
      <c r="N52" s="50" cm="1">
        <f t="array" ref="N52">_xlfn.XLOOKUP(F52,Tickets!$B$4:$B$7,_xlfn.XLOOKUP(Students!G52,Tickets!$C$3:$E$3,Tickets!$C$4:$E$7,,0),,0)</f>
        <v>60</v>
      </c>
      <c r="O52" s="51">
        <f t="shared" si="2"/>
        <v>6.7100175692608843E-2</v>
      </c>
      <c r="P52" s="20">
        <f>_xlfn.XLOOKUP($E52,Tickets!$E$12:$E$20,Tickets!C$12:C$20,,0)</f>
        <v>45.5</v>
      </c>
      <c r="Q52" s="51">
        <f>_xlfn.XLOOKUP($E52,Tickets!$E$12:$E$20,Tickets!D$12:D$20,,0)</f>
        <v>3.125E-2</v>
      </c>
      <c r="R52" s="50" cm="1">
        <f t="array" aca="1" ref="R52" ca="1">_xlfn.IFS(AND(U52&lt;=$Y$61,T52&lt;=$Z$61),$AA$61*_xlfn.XLOOKUP(F52,Tickets!$B$4:$B$7,Tickets!$E$4:$E$7,,0),OR(Students!T52&lt;=Students!$Z$62,Students!U52&gt;Students!$Y$63),Students!$AA$62*_xlfn.XLOOKUP(F52,Tickets!$B$4:$B$7,Tickets!$C$4:$C$7,,0),TRUE,0)</f>
        <v>120</v>
      </c>
      <c r="S52" s="48">
        <f t="shared" ca="1" si="3"/>
        <v>44875</v>
      </c>
      <c r="T52" s="45">
        <f t="shared" ca="1" si="4"/>
        <v>3.5833333333333335</v>
      </c>
      <c r="U52" s="52">
        <f t="shared" ca="1" si="5"/>
        <v>25.583333333333332</v>
      </c>
    </row>
    <row r="53" spans="1:28" x14ac:dyDescent="0.3">
      <c r="A53" s="11">
        <v>895709</v>
      </c>
      <c r="B53" s="11" t="s">
        <v>44</v>
      </c>
      <c r="C53" s="11" t="s">
        <v>99</v>
      </c>
      <c r="D53" s="13">
        <v>35435</v>
      </c>
      <c r="E53" s="12" t="s">
        <v>212</v>
      </c>
      <c r="F53" s="13" t="s">
        <v>204</v>
      </c>
      <c r="G53" s="13" t="s">
        <v>118</v>
      </c>
      <c r="H53" s="13">
        <v>44479</v>
      </c>
      <c r="I53" s="14">
        <v>0.81435744711424696</v>
      </c>
      <c r="J53" s="21">
        <v>0.87868875103778277</v>
      </c>
      <c r="K53" s="16">
        <v>172</v>
      </c>
      <c r="L53" s="20" t="str">
        <f t="shared" si="0"/>
        <v>כסיף עזרא</v>
      </c>
      <c r="M53" s="49">
        <f t="shared" ca="1" si="1"/>
        <v>44931</v>
      </c>
      <c r="N53" s="50" cm="1">
        <f t="array" ref="N53">_xlfn.XLOOKUP(F53,Tickets!$B$4:$B$7,_xlfn.XLOOKUP(Students!G53,Tickets!$C$3:$E$3,Tickets!$C$4:$E$7,,0),,0)</f>
        <v>90</v>
      </c>
      <c r="O53" s="51">
        <f t="shared" si="2"/>
        <v>6.433130392353581E-2</v>
      </c>
      <c r="P53" s="20">
        <f>_xlfn.XLOOKUP($E53,Tickets!$E$12:$E$20,Tickets!C$12:C$20,,0)</f>
        <v>45.5</v>
      </c>
      <c r="Q53" s="51">
        <f>_xlfn.XLOOKUP($E53,Tickets!$E$12:$E$20,Tickets!D$12:D$20,,0)</f>
        <v>3.125E-2</v>
      </c>
      <c r="R53" s="50" cm="1">
        <f t="array" aca="1" ref="R53" ca="1">_xlfn.IFS(AND(U53&lt;=$Y$61,T53&lt;=$Z$61),$AA$61*_xlfn.XLOOKUP(F53,Tickets!$B$4:$B$7,Tickets!$E$4:$E$7,,0),OR(Students!T53&lt;=Students!$Z$62,Students!U53&gt;Students!$Y$63),Students!$AA$62*_xlfn.XLOOKUP(F53,Tickets!$B$4:$B$7,Tickets!$C$4:$C$7,,0),TRUE,0)</f>
        <v>210</v>
      </c>
      <c r="S53" s="48">
        <f t="shared" ca="1" si="3"/>
        <v>44566</v>
      </c>
      <c r="T53" s="45">
        <f t="shared" ca="1" si="4"/>
        <v>0.66666666666666663</v>
      </c>
      <c r="U53" s="52">
        <f t="shared" ca="1" si="5"/>
        <v>25.416666666666668</v>
      </c>
    </row>
    <row r="54" spans="1:28" x14ac:dyDescent="0.3">
      <c r="A54" s="11">
        <v>703735</v>
      </c>
      <c r="B54" s="11" t="s">
        <v>24</v>
      </c>
      <c r="C54" s="11" t="s">
        <v>77</v>
      </c>
      <c r="D54" s="13">
        <v>36487</v>
      </c>
      <c r="E54" s="12" t="s">
        <v>207</v>
      </c>
      <c r="F54" s="13" t="s">
        <v>203</v>
      </c>
      <c r="G54" s="13" t="s">
        <v>119</v>
      </c>
      <c r="H54" s="13">
        <v>44479</v>
      </c>
      <c r="I54" s="14">
        <v>0.8108958472704082</v>
      </c>
      <c r="J54" s="21">
        <v>0.91080508039650221</v>
      </c>
      <c r="K54" s="16">
        <v>108</v>
      </c>
      <c r="L54" s="20" t="str">
        <f t="shared" si="0"/>
        <v>קדוש דויד</v>
      </c>
      <c r="M54" s="49">
        <f t="shared" ca="1" si="1"/>
        <v>44888</v>
      </c>
      <c r="N54" s="50" cm="1">
        <f t="array" ref="N54">_xlfn.XLOOKUP(F54,Tickets!$B$4:$B$7,_xlfn.XLOOKUP(Students!G54,Tickets!$C$3:$E$3,Tickets!$C$4:$E$7,,0),,0)</f>
        <v>110</v>
      </c>
      <c r="O54" s="51">
        <f t="shared" si="2"/>
        <v>9.990923312609401E-2</v>
      </c>
      <c r="P54" s="20">
        <f>_xlfn.XLOOKUP($E54,Tickets!$E$12:$E$20,Tickets!C$12:C$20,,0)</f>
        <v>31.7</v>
      </c>
      <c r="Q54" s="51">
        <f>_xlfn.XLOOKUP($E54,Tickets!$E$12:$E$20,Tickets!D$12:D$20,,0)</f>
        <v>2.013888888888889E-2</v>
      </c>
      <c r="R54" s="50" cm="1">
        <f t="array" aca="1" ref="R54" ca="1">_xlfn.IFS(AND(U54&lt;=$Y$61,T54&lt;=$Z$61),$AA$61*_xlfn.XLOOKUP(F54,Tickets!$B$4:$B$7,Tickets!$E$4:$E$7,,0),OR(Students!T54&lt;=Students!$Z$62,Students!U54&gt;Students!$Y$63),Students!$AA$62*_xlfn.XLOOKUP(F54,Tickets!$B$4:$B$7,Tickets!$C$4:$C$7,,0),TRUE,0)</f>
        <v>220</v>
      </c>
      <c r="S54" s="48">
        <f t="shared" ca="1" si="3"/>
        <v>44888</v>
      </c>
      <c r="T54" s="45">
        <f t="shared" ca="1" si="4"/>
        <v>0.66666666666666663</v>
      </c>
      <c r="U54" s="52">
        <f t="shared" ca="1" si="5"/>
        <v>22.5</v>
      </c>
    </row>
    <row r="55" spans="1:28" x14ac:dyDescent="0.3">
      <c r="A55" s="11">
        <v>155640</v>
      </c>
      <c r="B55" s="11" t="s">
        <v>13</v>
      </c>
      <c r="C55" s="11" t="s">
        <v>53</v>
      </c>
      <c r="D55" s="13">
        <v>35634</v>
      </c>
      <c r="E55" s="12" t="s">
        <v>212</v>
      </c>
      <c r="F55" s="13" t="s">
        <v>196</v>
      </c>
      <c r="G55" s="13" t="s">
        <v>118</v>
      </c>
      <c r="H55" s="13">
        <v>43387</v>
      </c>
      <c r="I55" s="14">
        <v>0.80193851739042743</v>
      </c>
      <c r="J55" s="21">
        <v>0.93174072384940576</v>
      </c>
      <c r="K55" s="16">
        <v>96</v>
      </c>
      <c r="L55" s="20" t="str">
        <f t="shared" si="0"/>
        <v>יהל ברוך</v>
      </c>
      <c r="M55" s="49">
        <f t="shared" ca="1" si="1"/>
        <v>44765</v>
      </c>
      <c r="N55" s="50" cm="1">
        <f t="array" ref="N55">_xlfn.XLOOKUP(F55,Tickets!$B$4:$B$7,_xlfn.XLOOKUP(Students!G55,Tickets!$C$3:$E$3,Tickets!$C$4:$E$7,,0),,0)</f>
        <v>60</v>
      </c>
      <c r="O55" s="51">
        <f t="shared" si="2"/>
        <v>0.12980220645897833</v>
      </c>
      <c r="P55" s="20">
        <f>_xlfn.XLOOKUP($E55,Tickets!$E$12:$E$20,Tickets!C$12:C$20,,0)</f>
        <v>45.5</v>
      </c>
      <c r="Q55" s="51">
        <f>_xlfn.XLOOKUP($E55,Tickets!$E$12:$E$20,Tickets!D$12:D$20,,0)</f>
        <v>3.125E-2</v>
      </c>
      <c r="R55" s="50" cm="1">
        <f t="array" aca="1" ref="R55" ca="1">_xlfn.IFS(AND(U55&lt;=$Y$61,T55&lt;=$Z$61),$AA$61*_xlfn.XLOOKUP(F55,Tickets!$B$4:$B$7,Tickets!$E$4:$E$7,,0),OR(Students!T55&lt;=Students!$Z$62,Students!U55&gt;Students!$Y$63),Students!$AA$62*_xlfn.XLOOKUP(F55,Tickets!$B$4:$B$7,Tickets!$C$4:$C$7,,0),TRUE,0)</f>
        <v>0</v>
      </c>
      <c r="S55" s="48">
        <f t="shared" ca="1" si="3"/>
        <v>44765</v>
      </c>
      <c r="T55" s="45">
        <f t="shared" ca="1" si="4"/>
        <v>3.5833333333333335</v>
      </c>
      <c r="U55" s="52">
        <f t="shared" ca="1" si="5"/>
        <v>24.833333333333332</v>
      </c>
    </row>
    <row r="56" spans="1:28" x14ac:dyDescent="0.3">
      <c r="A56" s="11">
        <v>533059</v>
      </c>
      <c r="B56" s="11" t="s">
        <v>8</v>
      </c>
      <c r="C56" s="11" t="s">
        <v>62</v>
      </c>
      <c r="D56" s="13">
        <v>35751</v>
      </c>
      <c r="E56" s="12" t="s">
        <v>212</v>
      </c>
      <c r="F56" s="13" t="s">
        <v>202</v>
      </c>
      <c r="G56" s="13" t="s">
        <v>117</v>
      </c>
      <c r="H56" s="13">
        <v>43765</v>
      </c>
      <c r="I56" s="14">
        <v>0.80537575577539422</v>
      </c>
      <c r="J56" s="21">
        <v>0.88277030769325326</v>
      </c>
      <c r="K56" s="16">
        <v>410</v>
      </c>
      <c r="L56" s="20" t="str">
        <f t="shared" si="0"/>
        <v>שמש נדב</v>
      </c>
      <c r="M56" s="49">
        <f t="shared" ca="1" si="1"/>
        <v>44882</v>
      </c>
      <c r="N56" s="50" cm="1">
        <f t="array" ref="N56">_xlfn.XLOOKUP(F56,Tickets!$B$4:$B$7,_xlfn.XLOOKUP(Students!G56,Tickets!$C$3:$E$3,Tickets!$C$4:$E$7,,0),,0)</f>
        <v>50</v>
      </c>
      <c r="O56" s="51">
        <f t="shared" si="2"/>
        <v>7.7394551917859045E-2</v>
      </c>
      <c r="P56" s="20">
        <f>_xlfn.XLOOKUP($E56,Tickets!$E$12:$E$20,Tickets!C$12:C$20,,0)</f>
        <v>45.5</v>
      </c>
      <c r="Q56" s="51">
        <f>_xlfn.XLOOKUP($E56,Tickets!$E$12:$E$20,Tickets!D$12:D$20,,0)</f>
        <v>3.125E-2</v>
      </c>
      <c r="R56" s="50" cm="1">
        <f t="array" aca="1" ref="R56" ca="1">_xlfn.IFS(AND(U56&lt;=$Y$61,T56&lt;=$Z$61),$AA$61*_xlfn.XLOOKUP(F56,Tickets!$B$4:$B$7,Tickets!$E$4:$E$7,,0),OR(Students!T56&lt;=Students!$Z$62,Students!U56&gt;Students!$Y$63),Students!$AA$62*_xlfn.XLOOKUP(F56,Tickets!$B$4:$B$7,Tickets!$C$4:$C$7,,0),TRUE,0)</f>
        <v>0</v>
      </c>
      <c r="S56" s="48">
        <f t="shared" ca="1" si="3"/>
        <v>44882</v>
      </c>
      <c r="T56" s="45">
        <f t="shared" ca="1" si="4"/>
        <v>2.5833333333333335</v>
      </c>
      <c r="U56" s="52">
        <f t="shared" ca="1" si="5"/>
        <v>24.5</v>
      </c>
    </row>
    <row r="57" spans="1:28" x14ac:dyDescent="0.3">
      <c r="A57" s="11">
        <v>706986</v>
      </c>
      <c r="B57" s="11" t="s">
        <v>12</v>
      </c>
      <c r="C57" s="11" t="s">
        <v>67</v>
      </c>
      <c r="D57" s="13">
        <v>36441</v>
      </c>
      <c r="E57" s="12" t="s">
        <v>207</v>
      </c>
      <c r="F57" s="13" t="s">
        <v>204</v>
      </c>
      <c r="G57" s="13" t="s">
        <v>118</v>
      </c>
      <c r="H57" s="13">
        <v>43765</v>
      </c>
      <c r="I57" s="14">
        <v>0.86563002565692915</v>
      </c>
      <c r="J57" s="21">
        <v>1.889367068375547E-2</v>
      </c>
      <c r="K57" s="16">
        <v>151</v>
      </c>
      <c r="L57" s="20" t="str">
        <f t="shared" si="0"/>
        <v>גרוס גלעד</v>
      </c>
      <c r="M57" s="49">
        <f t="shared" ca="1" si="1"/>
        <v>44842</v>
      </c>
      <c r="N57" s="50" cm="1">
        <f t="array" ref="N57">_xlfn.XLOOKUP(F57,Tickets!$B$4:$B$7,_xlfn.XLOOKUP(Students!G57,Tickets!$C$3:$E$3,Tickets!$C$4:$E$7,,0),,0)</f>
        <v>90</v>
      </c>
      <c r="O57" s="51">
        <f t="shared" si="2"/>
        <v>0.15326364502682632</v>
      </c>
      <c r="P57" s="20">
        <f>_xlfn.XLOOKUP($E57,Tickets!$E$12:$E$20,Tickets!C$12:C$20,,0)</f>
        <v>31.7</v>
      </c>
      <c r="Q57" s="51">
        <f>_xlfn.XLOOKUP($E57,Tickets!$E$12:$E$20,Tickets!D$12:D$20,,0)</f>
        <v>2.013888888888889E-2</v>
      </c>
      <c r="R57" s="50" cm="1">
        <f t="array" aca="1" ref="R57" ca="1">_xlfn.IFS(AND(U57&lt;=$Y$61,T57&lt;=$Z$61),$AA$61*_xlfn.XLOOKUP(F57,Tickets!$B$4:$B$7,Tickets!$E$4:$E$7,,0),OR(Students!T57&lt;=Students!$Z$62,Students!U57&gt;Students!$Y$63),Students!$AA$62*_xlfn.XLOOKUP(F57,Tickets!$B$4:$B$7,Tickets!$C$4:$C$7,,0),TRUE,0)</f>
        <v>0</v>
      </c>
      <c r="S57" s="48">
        <f t="shared" ca="1" si="3"/>
        <v>44842</v>
      </c>
      <c r="T57" s="45">
        <f t="shared" ca="1" si="4"/>
        <v>2.5833333333333335</v>
      </c>
      <c r="U57" s="52">
        <f t="shared" ca="1" si="5"/>
        <v>22.666666666666668</v>
      </c>
    </row>
    <row r="58" spans="1:28" x14ac:dyDescent="0.3">
      <c r="A58" s="11">
        <v>947742</v>
      </c>
      <c r="B58" s="11" t="s">
        <v>32</v>
      </c>
      <c r="C58" s="11" t="s">
        <v>86</v>
      </c>
      <c r="D58" s="13">
        <v>35285</v>
      </c>
      <c r="E58" s="12" t="s">
        <v>206</v>
      </c>
      <c r="F58" s="13" t="s">
        <v>202</v>
      </c>
      <c r="G58" s="13" t="s">
        <v>117</v>
      </c>
      <c r="H58" s="13">
        <v>43765</v>
      </c>
      <c r="I58" s="14">
        <v>0.96636920861803599</v>
      </c>
      <c r="J58" s="21">
        <v>0.12024476171073673</v>
      </c>
      <c r="K58" s="16">
        <v>342</v>
      </c>
      <c r="L58" s="20" t="str">
        <f t="shared" si="0"/>
        <v>חרמוני שחר</v>
      </c>
      <c r="M58" s="49">
        <f t="shared" ca="1" si="1"/>
        <v>44781</v>
      </c>
      <c r="N58" s="50" cm="1">
        <f t="array" ref="N58">_xlfn.XLOOKUP(F58,Tickets!$B$4:$B$7,_xlfn.XLOOKUP(Students!G58,Tickets!$C$3:$E$3,Tickets!$C$4:$E$7,,0),,0)</f>
        <v>50</v>
      </c>
      <c r="O58" s="51">
        <f t="shared" si="2"/>
        <v>0.15387555309270073</v>
      </c>
      <c r="P58" s="20">
        <f>_xlfn.XLOOKUP($E58,Tickets!$E$12:$E$20,Tickets!C$12:C$20,,0)</f>
        <v>19.100000000000001</v>
      </c>
      <c r="Q58" s="51">
        <f>_xlfn.XLOOKUP($E58,Tickets!$E$12:$E$20,Tickets!D$12:D$20,,0)</f>
        <v>1.8055555555555557E-2</v>
      </c>
      <c r="R58" s="50" cm="1">
        <f t="array" aca="1" ref="R58" ca="1">_xlfn.IFS(AND(U58&lt;=$Y$61,T58&lt;=$Z$61),$AA$61*_xlfn.XLOOKUP(F58,Tickets!$B$4:$B$7,Tickets!$E$4:$E$7,,0),OR(Students!T58&lt;=Students!$Z$62,Students!U58&gt;Students!$Y$63),Students!$AA$62*_xlfn.XLOOKUP(F58,Tickets!$B$4:$B$7,Tickets!$C$4:$C$7,,0),TRUE,0)</f>
        <v>150</v>
      </c>
      <c r="S58" s="48">
        <f t="shared" ca="1" si="3"/>
        <v>44781</v>
      </c>
      <c r="T58" s="45">
        <f t="shared" ca="1" si="4"/>
        <v>2.5833333333333335</v>
      </c>
      <c r="U58" s="52">
        <f t="shared" ca="1" si="5"/>
        <v>25.833333333333332</v>
      </c>
    </row>
    <row r="59" spans="1:28" x14ac:dyDescent="0.3">
      <c r="A59" s="11">
        <v>961812</v>
      </c>
      <c r="B59" s="11" t="s">
        <v>38</v>
      </c>
      <c r="C59" s="11" t="s">
        <v>93</v>
      </c>
      <c r="D59" s="13">
        <v>35373</v>
      </c>
      <c r="E59" s="12" t="s">
        <v>208</v>
      </c>
      <c r="F59" s="13" t="s">
        <v>203</v>
      </c>
      <c r="G59" s="13" t="s">
        <v>117</v>
      </c>
      <c r="H59" s="13">
        <v>44122</v>
      </c>
      <c r="I59" s="14">
        <v>0.92188322795462607</v>
      </c>
      <c r="J59" s="21">
        <v>4.6054180399436762E-2</v>
      </c>
      <c r="K59" s="16">
        <v>382</v>
      </c>
      <c r="L59" s="20" t="str">
        <f t="shared" si="0"/>
        <v>לבנון גאולה</v>
      </c>
      <c r="M59" s="49">
        <f t="shared" ca="1" si="1"/>
        <v>44869</v>
      </c>
      <c r="N59" s="50" cm="1">
        <f t="array" ref="N59">_xlfn.XLOOKUP(F59,Tickets!$B$4:$B$7,_xlfn.XLOOKUP(Students!G59,Tickets!$C$3:$E$3,Tickets!$C$4:$E$7,,0),,0)</f>
        <v>60</v>
      </c>
      <c r="O59" s="51">
        <f t="shared" si="2"/>
        <v>0.12417095244481069</v>
      </c>
      <c r="P59" s="20">
        <f>_xlfn.XLOOKUP($E59,Tickets!$E$12:$E$20,Tickets!C$12:C$20,,0)</f>
        <v>29.7</v>
      </c>
      <c r="Q59" s="51">
        <f>_xlfn.XLOOKUP($E59,Tickets!$E$12:$E$20,Tickets!D$12:D$20,,0)</f>
        <v>1.8749999999999999E-2</v>
      </c>
      <c r="R59" s="50" cm="1">
        <f t="array" aca="1" ref="R59" ca="1">_xlfn.IFS(AND(U59&lt;=$Y$61,T59&lt;=$Z$61),$AA$61*_xlfn.XLOOKUP(F59,Tickets!$B$4:$B$7,Tickets!$E$4:$E$7,,0),OR(Students!T59&lt;=Students!$Z$62,Students!U59&gt;Students!$Y$63),Students!$AA$62*_xlfn.XLOOKUP(F59,Tickets!$B$4:$B$7,Tickets!$C$4:$C$7,,0),TRUE,0)</f>
        <v>180</v>
      </c>
      <c r="S59" s="48">
        <f t="shared" ca="1" si="3"/>
        <v>44869</v>
      </c>
      <c r="T59" s="45">
        <f t="shared" ca="1" si="4"/>
        <v>1.5833333333333333</v>
      </c>
      <c r="U59" s="52">
        <f t="shared" ca="1" si="5"/>
        <v>25.583333333333332</v>
      </c>
    </row>
    <row r="60" spans="1:28" x14ac:dyDescent="0.3">
      <c r="A60" s="11">
        <v>715580</v>
      </c>
      <c r="B60" s="11" t="s">
        <v>18</v>
      </c>
      <c r="C60" s="11" t="s">
        <v>60</v>
      </c>
      <c r="D60" s="13">
        <v>35479</v>
      </c>
      <c r="E60" s="12" t="s">
        <v>208</v>
      </c>
      <c r="F60" s="13" t="s">
        <v>204</v>
      </c>
      <c r="G60" s="13" t="s">
        <v>118</v>
      </c>
      <c r="H60" s="13">
        <v>44479</v>
      </c>
      <c r="I60" s="14">
        <v>0.92392971336528018</v>
      </c>
      <c r="J60" s="21">
        <v>4.7971531273005352E-2</v>
      </c>
      <c r="K60" s="16">
        <v>404</v>
      </c>
      <c r="L60" s="20" t="str">
        <f t="shared" si="0"/>
        <v>פלג אבינועם</v>
      </c>
      <c r="M60" s="49">
        <f t="shared" ca="1" si="1"/>
        <v>44975</v>
      </c>
      <c r="N60" s="50" cm="1">
        <f t="array" ref="N60">_xlfn.XLOOKUP(F60,Tickets!$B$4:$B$7,_xlfn.XLOOKUP(Students!G60,Tickets!$C$3:$E$3,Tickets!$C$4:$E$7,,0),,0)</f>
        <v>90</v>
      </c>
      <c r="O60" s="51">
        <f t="shared" si="2"/>
        <v>0.12404181790772517</v>
      </c>
      <c r="P60" s="20">
        <f>_xlfn.XLOOKUP($E60,Tickets!$E$12:$E$20,Tickets!C$12:C$20,,0)</f>
        <v>29.7</v>
      </c>
      <c r="Q60" s="51">
        <f>_xlfn.XLOOKUP($E60,Tickets!$E$12:$E$20,Tickets!D$12:D$20,,0)</f>
        <v>1.8749999999999999E-2</v>
      </c>
      <c r="R60" s="50" cm="1">
        <f t="array" aca="1" ref="R60" ca="1">_xlfn.IFS(AND(U60&lt;=$Y$61,T60&lt;=$Z$61),$AA$61*_xlfn.XLOOKUP(F60,Tickets!$B$4:$B$7,Tickets!$E$4:$E$7,,0),OR(Students!T60&lt;=Students!$Z$62,Students!U60&gt;Students!$Y$63),Students!$AA$62*_xlfn.XLOOKUP(F60,Tickets!$B$4:$B$7,Tickets!$C$4:$C$7,,0),TRUE,0)</f>
        <v>210</v>
      </c>
      <c r="S60" s="48">
        <f t="shared" ca="1" si="3"/>
        <v>44610</v>
      </c>
      <c r="T60" s="45">
        <f t="shared" ca="1" si="4"/>
        <v>0.66666666666666663</v>
      </c>
      <c r="U60" s="52">
        <f t="shared" ca="1" si="5"/>
        <v>25.25</v>
      </c>
      <c r="X60" s="112"/>
      <c r="Y60" s="112" t="s">
        <v>151</v>
      </c>
      <c r="Z60" s="112" t="s">
        <v>244</v>
      </c>
      <c r="AA60" s="112" t="s">
        <v>245</v>
      </c>
      <c r="AB60" s="112" t="s">
        <v>246</v>
      </c>
    </row>
    <row r="61" spans="1:28" x14ac:dyDescent="0.3">
      <c r="A61" s="11">
        <v>453100</v>
      </c>
      <c r="B61" s="11" t="s">
        <v>10</v>
      </c>
      <c r="C61" s="11" t="s">
        <v>64</v>
      </c>
      <c r="D61" s="13">
        <v>34949</v>
      </c>
      <c r="E61" s="12" t="s">
        <v>210</v>
      </c>
      <c r="F61" s="13" t="s">
        <v>202</v>
      </c>
      <c r="G61" s="13" t="s">
        <v>118</v>
      </c>
      <c r="H61" s="13">
        <v>43387</v>
      </c>
      <c r="I61" s="14">
        <v>0.881076500216051</v>
      </c>
      <c r="J61" s="21">
        <v>0.97104915309659745</v>
      </c>
      <c r="K61" s="16">
        <v>373</v>
      </c>
      <c r="L61" s="20" t="str">
        <f t="shared" si="0"/>
        <v>שולמן נועה</v>
      </c>
      <c r="M61" s="49">
        <f t="shared" ca="1" si="1"/>
        <v>44811</v>
      </c>
      <c r="N61" s="50" cm="1">
        <f t="array" ref="N61">_xlfn.XLOOKUP(F61,Tickets!$B$4:$B$7,_xlfn.XLOOKUP(Students!G61,Tickets!$C$3:$E$3,Tickets!$C$4:$E$7,,0),,0)</f>
        <v>70</v>
      </c>
      <c r="O61" s="51">
        <f t="shared" si="2"/>
        <v>8.9972652880546455E-2</v>
      </c>
      <c r="P61" s="20">
        <f>_xlfn.XLOOKUP($E61,Tickets!$E$12:$E$20,Tickets!C$12:C$20,,0)</f>
        <v>19.899999999999999</v>
      </c>
      <c r="Q61" s="51">
        <f>_xlfn.XLOOKUP($E61,Tickets!$E$12:$E$20,Tickets!D$12:D$20,,0)</f>
        <v>1.9444444444444445E-2</v>
      </c>
      <c r="R61" s="50" cm="1">
        <f t="array" aca="1" ref="R61" ca="1">_xlfn.IFS(AND(U61&lt;=$Y$61,T61&lt;=$Z$61),$AA$61*_xlfn.XLOOKUP(F61,Tickets!$B$4:$B$7,Tickets!$E$4:$E$7,,0),OR(Students!T61&lt;=Students!$Z$62,Students!U61&gt;Students!$Y$63),Students!$AA$62*_xlfn.XLOOKUP(F61,Tickets!$B$4:$B$7,Tickets!$C$4:$C$7,,0),TRUE,0)</f>
        <v>150</v>
      </c>
      <c r="S61" s="48">
        <f t="shared" ca="1" si="3"/>
        <v>44811</v>
      </c>
      <c r="T61" s="45">
        <f t="shared" ca="1" si="4"/>
        <v>3.5833333333333335</v>
      </c>
      <c r="U61" s="52">
        <f t="shared" ca="1" si="5"/>
        <v>26.75</v>
      </c>
      <c r="X61" s="112" t="s">
        <v>243</v>
      </c>
      <c r="Y61" s="112">
        <v>25</v>
      </c>
      <c r="Z61" s="112">
        <v>1</v>
      </c>
      <c r="AA61" s="112">
        <v>2</v>
      </c>
      <c r="AB61" s="112" t="s">
        <v>119</v>
      </c>
    </row>
    <row r="62" spans="1:28" x14ac:dyDescent="0.3">
      <c r="A62" s="17">
        <v>777926</v>
      </c>
      <c r="B62" s="18" t="s">
        <v>128</v>
      </c>
      <c r="C62" s="19" t="s">
        <v>101</v>
      </c>
      <c r="D62" s="13">
        <v>34795</v>
      </c>
      <c r="E62" s="12" t="s">
        <v>206</v>
      </c>
      <c r="F62" s="13" t="s">
        <v>203</v>
      </c>
      <c r="G62" s="13" t="s">
        <v>117</v>
      </c>
      <c r="H62" s="13">
        <v>43387</v>
      </c>
      <c r="I62" s="14">
        <v>0.78435043042089259</v>
      </c>
      <c r="J62" s="21">
        <v>0.90367607268086259</v>
      </c>
      <c r="K62" s="16">
        <v>81</v>
      </c>
      <c r="L62" s="20" t="str">
        <f t="shared" si="0"/>
        <v>דבי לאה</v>
      </c>
      <c r="M62" s="49">
        <f t="shared" ca="1" si="1"/>
        <v>45022</v>
      </c>
      <c r="N62" s="50" cm="1">
        <f t="array" ref="N62">_xlfn.XLOOKUP(F62,Tickets!$B$4:$B$7,_xlfn.XLOOKUP(Students!G62,Tickets!$C$3:$E$3,Tickets!$C$4:$E$7,,0),,0)</f>
        <v>60</v>
      </c>
      <c r="O62" s="51">
        <f t="shared" si="2"/>
        <v>0.11932564225997</v>
      </c>
      <c r="P62" s="20">
        <f>_xlfn.XLOOKUP($E62,Tickets!$E$12:$E$20,Tickets!C$12:C$20,,0)</f>
        <v>19.100000000000001</v>
      </c>
      <c r="Q62" s="51">
        <f>_xlfn.XLOOKUP($E62,Tickets!$E$12:$E$20,Tickets!D$12:D$20,,0)</f>
        <v>1.8055555555555557E-2</v>
      </c>
      <c r="R62" s="50" cm="1">
        <f t="array" aca="1" ref="R62" ca="1">_xlfn.IFS(AND(U62&lt;=$Y$61,T62&lt;=$Z$61),$AA$61*_xlfn.XLOOKUP(F62,Tickets!$B$4:$B$7,Tickets!$E$4:$E$7,,0),OR(Students!T62&lt;=Students!$Z$62,Students!U62&gt;Students!$Y$63),Students!$AA$62*_xlfn.XLOOKUP(F62,Tickets!$B$4:$B$7,Tickets!$C$4:$C$7,,0),TRUE,0)</f>
        <v>180</v>
      </c>
      <c r="S62" s="48">
        <f t="shared" ca="1" si="3"/>
        <v>44657</v>
      </c>
      <c r="T62" s="45">
        <f t="shared" ca="1" si="4"/>
        <v>3.5833333333333335</v>
      </c>
      <c r="U62" s="52">
        <f t="shared" ca="1" si="5"/>
        <v>27.166666666666668</v>
      </c>
      <c r="X62" s="112"/>
      <c r="Y62" s="112"/>
      <c r="Z62" s="112">
        <v>2</v>
      </c>
      <c r="AA62" s="112">
        <v>3</v>
      </c>
      <c r="AB62" s="112" t="s">
        <v>117</v>
      </c>
    </row>
    <row r="63" spans="1:28" x14ac:dyDescent="0.3">
      <c r="A63" s="17">
        <v>704131</v>
      </c>
      <c r="B63" s="18" t="s">
        <v>129</v>
      </c>
      <c r="C63" s="19" t="s">
        <v>163</v>
      </c>
      <c r="D63" s="13">
        <v>36561</v>
      </c>
      <c r="E63" s="12" t="s">
        <v>209</v>
      </c>
      <c r="F63" s="13" t="s">
        <v>196</v>
      </c>
      <c r="G63" s="13" t="s">
        <v>118</v>
      </c>
      <c r="H63" s="13">
        <v>43765</v>
      </c>
      <c r="I63" s="14">
        <v>0.76828381719138283</v>
      </c>
      <c r="J63" s="21">
        <v>0.85317915678817757</v>
      </c>
      <c r="K63" s="16">
        <v>325</v>
      </c>
      <c r="L63" s="20" t="str">
        <f t="shared" si="0"/>
        <v>תבור מיכל</v>
      </c>
      <c r="M63" s="49">
        <f t="shared" ca="1" si="1"/>
        <v>44962</v>
      </c>
      <c r="N63" s="50" cm="1">
        <f t="array" ref="N63">_xlfn.XLOOKUP(F63,Tickets!$B$4:$B$7,_xlfn.XLOOKUP(Students!G63,Tickets!$C$3:$E$3,Tickets!$C$4:$E$7,,0),,0)</f>
        <v>60</v>
      </c>
      <c r="O63" s="51">
        <f t="shared" si="2"/>
        <v>8.4895339596794739E-2</v>
      </c>
      <c r="P63" s="20">
        <f>_xlfn.XLOOKUP($E63,Tickets!$E$12:$E$20,Tickets!C$12:C$20,,0)</f>
        <v>3.3</v>
      </c>
      <c r="Q63" s="51">
        <f>_xlfn.XLOOKUP($E63,Tickets!$E$12:$E$20,Tickets!D$12:D$20,,0)</f>
        <v>5.5555555555555558E-3</v>
      </c>
      <c r="R63" s="50" cm="1">
        <f t="array" aca="1" ref="R63" ca="1">_xlfn.IFS(AND(U63&lt;=$Y$61,T63&lt;=$Z$61),$AA$61*_xlfn.XLOOKUP(F63,Tickets!$B$4:$B$7,Tickets!$E$4:$E$7,,0),OR(Students!T63&lt;=Students!$Z$62,Students!U63&gt;Students!$Y$63),Students!$AA$62*_xlfn.XLOOKUP(F63,Tickets!$B$4:$B$7,Tickets!$C$4:$C$7,,0),TRUE,0)</f>
        <v>0</v>
      </c>
      <c r="S63" s="48">
        <f t="shared" ca="1" si="3"/>
        <v>44597</v>
      </c>
      <c r="T63" s="45">
        <f t="shared" ca="1" si="4"/>
        <v>2.5833333333333335</v>
      </c>
      <c r="U63" s="52">
        <f t="shared" ca="1" si="5"/>
        <v>22.333333333333332</v>
      </c>
      <c r="X63" s="112" t="s">
        <v>247</v>
      </c>
      <c r="Y63" s="112">
        <v>25</v>
      </c>
      <c r="Z63" s="112"/>
      <c r="AA63" s="112">
        <v>3</v>
      </c>
      <c r="AB63" s="112" t="s">
        <v>117</v>
      </c>
    </row>
    <row r="64" spans="1:28" x14ac:dyDescent="0.3">
      <c r="A64" s="17">
        <v>244488</v>
      </c>
      <c r="B64" s="18" t="s">
        <v>130</v>
      </c>
      <c r="C64" s="19" t="s">
        <v>102</v>
      </c>
      <c r="D64" s="13">
        <v>36691</v>
      </c>
      <c r="E64" s="12" t="s">
        <v>208</v>
      </c>
      <c r="F64" s="13" t="s">
        <v>196</v>
      </c>
      <c r="G64" s="13" t="s">
        <v>117</v>
      </c>
      <c r="H64" s="13">
        <v>43387</v>
      </c>
      <c r="I64" s="14">
        <v>0.75534648640299729</v>
      </c>
      <c r="J64" s="21">
        <v>0.9067501194179779</v>
      </c>
      <c r="K64" s="16">
        <v>239</v>
      </c>
      <c r="L64" s="20" t="str">
        <f t="shared" si="0"/>
        <v>לוין דפנה</v>
      </c>
      <c r="M64" s="49">
        <f t="shared" ca="1" si="1"/>
        <v>44726</v>
      </c>
      <c r="N64" s="50" cm="1">
        <f t="array" ref="N64">_xlfn.XLOOKUP(F64,Tickets!$B$4:$B$7,_xlfn.XLOOKUP(Students!G64,Tickets!$C$3:$E$3,Tickets!$C$4:$E$7,,0),,0)</f>
        <v>40</v>
      </c>
      <c r="O64" s="51">
        <f t="shared" si="2"/>
        <v>0.15140363301498061</v>
      </c>
      <c r="P64" s="20">
        <f>_xlfn.XLOOKUP($E64,Tickets!$E$12:$E$20,Tickets!C$12:C$20,,0)</f>
        <v>29.7</v>
      </c>
      <c r="Q64" s="51">
        <f>_xlfn.XLOOKUP($E64,Tickets!$E$12:$E$20,Tickets!D$12:D$20,,0)</f>
        <v>1.8749999999999999E-2</v>
      </c>
      <c r="R64" s="50" cm="1">
        <f t="array" aca="1" ref="R64" ca="1">_xlfn.IFS(AND(U64&lt;=$Y$61,T64&lt;=$Z$61),$AA$61*_xlfn.XLOOKUP(F64,Tickets!$B$4:$B$7,Tickets!$E$4:$E$7,,0),OR(Students!T64&lt;=Students!$Z$62,Students!U64&gt;Students!$Y$63),Students!$AA$62*_xlfn.XLOOKUP(F64,Tickets!$B$4:$B$7,Tickets!$C$4:$C$7,,0),TRUE,0)</f>
        <v>0</v>
      </c>
      <c r="S64" s="48">
        <f t="shared" ca="1" si="3"/>
        <v>44726</v>
      </c>
      <c r="T64" s="45">
        <f t="shared" ca="1" si="4"/>
        <v>3.5833333333333335</v>
      </c>
      <c r="U64" s="52">
        <f t="shared" ca="1" si="5"/>
        <v>21.916666666666668</v>
      </c>
    </row>
    <row r="65" spans="1:21" x14ac:dyDescent="0.3">
      <c r="A65" s="17">
        <v>269196</v>
      </c>
      <c r="B65" s="18" t="s">
        <v>131</v>
      </c>
      <c r="C65" s="19" t="s">
        <v>110</v>
      </c>
      <c r="D65" s="13">
        <v>35191</v>
      </c>
      <c r="E65" s="12" t="s">
        <v>203</v>
      </c>
      <c r="F65" s="13" t="s">
        <v>196</v>
      </c>
      <c r="G65" s="13" t="s">
        <v>119</v>
      </c>
      <c r="H65" s="13">
        <v>43387</v>
      </c>
      <c r="I65" s="14">
        <v>0.95104305892283714</v>
      </c>
      <c r="J65" s="21">
        <v>1.5896123929324713E-2</v>
      </c>
      <c r="K65" s="16">
        <v>456</v>
      </c>
      <c r="L65" s="20" t="str">
        <f t="shared" si="0"/>
        <v>דיין יעל</v>
      </c>
      <c r="M65" s="49">
        <f t="shared" ca="1" si="1"/>
        <v>45052</v>
      </c>
      <c r="N65" s="50" cm="1">
        <f t="array" ref="N65">_xlfn.XLOOKUP(F65,Tickets!$B$4:$B$7,_xlfn.XLOOKUP(Students!G65,Tickets!$C$3:$E$3,Tickets!$C$4:$E$7,,0),,0)</f>
        <v>130</v>
      </c>
      <c r="O65" s="51">
        <f t="shared" si="2"/>
        <v>6.4853065006487576E-2</v>
      </c>
      <c r="P65" s="20">
        <f>_xlfn.XLOOKUP($E65,Tickets!$E$12:$E$20,Tickets!C$12:C$20,,0)</f>
        <v>25.4</v>
      </c>
      <c r="Q65" s="51">
        <f>_xlfn.XLOOKUP($E65,Tickets!$E$12:$E$20,Tickets!D$12:D$20,,0)</f>
        <v>2.7083333333333334E-2</v>
      </c>
      <c r="R65" s="50" cm="1">
        <f t="array" aca="1" ref="R65" ca="1">_xlfn.IFS(AND(U65&lt;=$Y$61,T65&lt;=$Z$61),$AA$61*_xlfn.XLOOKUP(F65,Tickets!$B$4:$B$7,Tickets!$E$4:$E$7,,0),OR(Students!T65&lt;=Students!$Z$62,Students!U65&gt;Students!$Y$63),Students!$AA$62*_xlfn.XLOOKUP(F65,Tickets!$B$4:$B$7,Tickets!$C$4:$C$7,,0),TRUE,0)</f>
        <v>120</v>
      </c>
      <c r="S65" s="48">
        <f t="shared" ca="1" si="3"/>
        <v>44687</v>
      </c>
      <c r="T65" s="45">
        <f t="shared" ca="1" si="4"/>
        <v>3.5833333333333335</v>
      </c>
      <c r="U65" s="52">
        <f t="shared" ca="1" si="5"/>
        <v>26.083333333333332</v>
      </c>
    </row>
    <row r="66" spans="1:21" x14ac:dyDescent="0.3">
      <c r="A66" s="17">
        <v>562161</v>
      </c>
      <c r="B66" s="18" t="s">
        <v>132</v>
      </c>
      <c r="C66" s="19" t="s">
        <v>89</v>
      </c>
      <c r="D66" s="13">
        <v>36352</v>
      </c>
      <c r="E66" s="12" t="s">
        <v>206</v>
      </c>
      <c r="F66" s="13" t="s">
        <v>203</v>
      </c>
      <c r="G66" s="13" t="s">
        <v>117</v>
      </c>
      <c r="H66" s="13">
        <v>44479</v>
      </c>
      <c r="I66" s="14">
        <v>0.76485013971572879</v>
      </c>
      <c r="J66" s="21">
        <v>0.88611466395119876</v>
      </c>
      <c r="K66" s="16">
        <v>399</v>
      </c>
      <c r="L66" s="20" t="str">
        <f t="shared" si="0"/>
        <v>חן לילי</v>
      </c>
      <c r="M66" s="49">
        <f t="shared" ca="1" si="1"/>
        <v>44753</v>
      </c>
      <c r="N66" s="50" cm="1">
        <f t="array" ref="N66">_xlfn.XLOOKUP(F66,Tickets!$B$4:$B$7,_xlfn.XLOOKUP(Students!G66,Tickets!$C$3:$E$3,Tickets!$C$4:$E$7,,0),,0)</f>
        <v>60</v>
      </c>
      <c r="O66" s="51">
        <f t="shared" si="2"/>
        <v>0.12126452423546996</v>
      </c>
      <c r="P66" s="20">
        <f>_xlfn.XLOOKUP($E66,Tickets!$E$12:$E$20,Tickets!C$12:C$20,,0)</f>
        <v>19.100000000000001</v>
      </c>
      <c r="Q66" s="51">
        <f>_xlfn.XLOOKUP($E66,Tickets!$E$12:$E$20,Tickets!D$12:D$20,,0)</f>
        <v>1.8055555555555557E-2</v>
      </c>
      <c r="R66" s="50" cm="1">
        <f t="array" aca="1" ref="R66" ca="1">_xlfn.IFS(AND(U66&lt;=$Y$61,T66&lt;=$Z$61),$AA$61*_xlfn.XLOOKUP(F66,Tickets!$B$4:$B$7,Tickets!$E$4:$E$7,,0),OR(Students!T66&lt;=Students!$Z$62,Students!U66&gt;Students!$Y$63),Students!$AA$62*_xlfn.XLOOKUP(F66,Tickets!$B$4:$B$7,Tickets!$C$4:$C$7,,0),TRUE,0)</f>
        <v>220</v>
      </c>
      <c r="S66" s="48">
        <f t="shared" ca="1" si="3"/>
        <v>44753</v>
      </c>
      <c r="T66" s="45">
        <f t="shared" ca="1" si="4"/>
        <v>0.66666666666666663</v>
      </c>
      <c r="U66" s="52">
        <f t="shared" ca="1" si="5"/>
        <v>22.916666666666668</v>
      </c>
    </row>
    <row r="67" spans="1:21" x14ac:dyDescent="0.3">
      <c r="A67" s="17">
        <v>590439</v>
      </c>
      <c r="B67" s="18" t="s">
        <v>133</v>
      </c>
      <c r="C67" s="19" t="s">
        <v>164</v>
      </c>
      <c r="D67" s="13">
        <v>34827</v>
      </c>
      <c r="E67" s="12" t="s">
        <v>212</v>
      </c>
      <c r="F67" s="13" t="s">
        <v>202</v>
      </c>
      <c r="G67" s="13" t="s">
        <v>117</v>
      </c>
      <c r="H67" s="13">
        <v>44479</v>
      </c>
      <c r="I67" s="14">
        <v>0.87438355462965234</v>
      </c>
      <c r="J67" s="21">
        <v>0.93537937024025775</v>
      </c>
      <c r="K67" s="16">
        <v>347</v>
      </c>
      <c r="L67" s="20" t="str">
        <f t="shared" si="0"/>
        <v>אפרים משה</v>
      </c>
      <c r="M67" s="49">
        <f t="shared" ca="1" si="1"/>
        <v>45054</v>
      </c>
      <c r="N67" s="50" cm="1">
        <f t="array" ref="N67">_xlfn.XLOOKUP(F67,Tickets!$B$4:$B$7,_xlfn.XLOOKUP(Students!G67,Tickets!$C$3:$E$3,Tickets!$C$4:$E$7,,0),,0)</f>
        <v>50</v>
      </c>
      <c r="O67" s="51">
        <f t="shared" si="2"/>
        <v>6.0995815610605408E-2</v>
      </c>
      <c r="P67" s="20">
        <f>_xlfn.XLOOKUP($E67,Tickets!$E$12:$E$20,Tickets!C$12:C$20,,0)</f>
        <v>45.5</v>
      </c>
      <c r="Q67" s="51">
        <f>_xlfn.XLOOKUP($E67,Tickets!$E$12:$E$20,Tickets!D$12:D$20,,0)</f>
        <v>3.125E-2</v>
      </c>
      <c r="R67" s="50" cm="1">
        <f t="array" aca="1" ref="R67" ca="1">_xlfn.IFS(AND(U67&lt;=$Y$61,T67&lt;=$Z$61),$AA$61*_xlfn.XLOOKUP(F67,Tickets!$B$4:$B$7,Tickets!$E$4:$E$7,,0),OR(Students!T67&lt;=Students!$Z$62,Students!U67&gt;Students!$Y$63),Students!$AA$62*_xlfn.XLOOKUP(F67,Tickets!$B$4:$B$7,Tickets!$C$4:$C$7,,0),TRUE,0)</f>
        <v>150</v>
      </c>
      <c r="S67" s="48">
        <f t="shared" ca="1" si="3"/>
        <v>44689</v>
      </c>
      <c r="T67" s="45">
        <f t="shared" ca="1" si="4"/>
        <v>0.66666666666666663</v>
      </c>
      <c r="U67" s="52">
        <f t="shared" ca="1" si="5"/>
        <v>27.083333333333332</v>
      </c>
    </row>
    <row r="68" spans="1:21" x14ac:dyDescent="0.3">
      <c r="A68" s="17">
        <v>593498</v>
      </c>
      <c r="B68" s="18" t="s">
        <v>134</v>
      </c>
      <c r="C68" s="19" t="s">
        <v>165</v>
      </c>
      <c r="D68" s="13">
        <v>34743</v>
      </c>
      <c r="E68" s="12" t="s">
        <v>207</v>
      </c>
      <c r="F68" s="13" t="s">
        <v>196</v>
      </c>
      <c r="G68" s="13" t="s">
        <v>119</v>
      </c>
      <c r="H68" s="13">
        <v>43387</v>
      </c>
      <c r="I68" s="14">
        <v>0.83145219401630355</v>
      </c>
      <c r="J68" s="21">
        <v>0.98682593795087614</v>
      </c>
      <c r="K68" s="16">
        <v>210</v>
      </c>
      <c r="L68" s="20" t="str">
        <f t="shared" ref="L68:L111" si="6">_xlfn.CONCAT(B68," ",C68)</f>
        <v>בן נירית</v>
      </c>
      <c r="M68" s="49">
        <f t="shared" ref="M68:M111" ca="1" si="7">IF(S68&gt;TODAY(),S68,EDATE(S68,12))</f>
        <v>44970</v>
      </c>
      <c r="N68" s="50" cm="1">
        <f t="array" ref="N68">_xlfn.XLOOKUP(F68,Tickets!$B$4:$B$7,_xlfn.XLOOKUP(Students!G68,Tickets!$C$3:$E$3,Tickets!$C$4:$E$7,,0),,0)</f>
        <v>130</v>
      </c>
      <c r="O68" s="51">
        <f t="shared" ref="O68:O111" si="8">IF(I68&gt;J68,1-I68+J68,J68-I68)</f>
        <v>0.15537374393457259</v>
      </c>
      <c r="P68" s="20">
        <f>_xlfn.XLOOKUP($E68,Tickets!$E$12:$E$20,Tickets!C$12:C$20,,0)</f>
        <v>31.7</v>
      </c>
      <c r="Q68" s="51">
        <f>_xlfn.XLOOKUP($E68,Tickets!$E$12:$E$20,Tickets!D$12:D$20,,0)</f>
        <v>2.013888888888889E-2</v>
      </c>
      <c r="R68" s="50" cm="1">
        <f t="array" aca="1" ref="R68" ca="1">_xlfn.IFS(AND(U68&lt;=$Y$61,T68&lt;=$Z$61),$AA$61*_xlfn.XLOOKUP(F68,Tickets!$B$4:$B$7,Tickets!$E$4:$E$7,,0),OR(Students!T68&lt;=Students!$Z$62,Students!U68&gt;Students!$Y$63),Students!$AA$62*_xlfn.XLOOKUP(F68,Tickets!$B$4:$B$7,Tickets!$C$4:$C$7,,0),TRUE,0)</f>
        <v>120</v>
      </c>
      <c r="S68" s="48">
        <f t="shared" ref="S68:S111" ca="1" si="9">DATE(YEAR(TODAY()),MONTH(D68),DAY(D68))</f>
        <v>44605</v>
      </c>
      <c r="T68" s="45">
        <f t="shared" ref="T68:T111" ca="1" si="10">DATEDIF(H68,TODAY(),"M")/12</f>
        <v>3.5833333333333335</v>
      </c>
      <c r="U68" s="52">
        <f t="shared" ref="U68:U111" ca="1" si="11">DATEDIF(D68,TODAY(),"M")/12</f>
        <v>27.333333333333332</v>
      </c>
    </row>
    <row r="69" spans="1:21" x14ac:dyDescent="0.3">
      <c r="A69" s="17">
        <v>783292</v>
      </c>
      <c r="B69" s="18" t="s">
        <v>11</v>
      </c>
      <c r="C69" s="19" t="s">
        <v>166</v>
      </c>
      <c r="D69" s="13">
        <v>36008</v>
      </c>
      <c r="E69" s="12" t="s">
        <v>212</v>
      </c>
      <c r="F69" s="13" t="s">
        <v>196</v>
      </c>
      <c r="G69" s="13" t="s">
        <v>117</v>
      </c>
      <c r="H69" s="13">
        <v>43387</v>
      </c>
      <c r="I69" s="14">
        <v>0.89349406126801645</v>
      </c>
      <c r="J69" s="21">
        <v>2.3111566084377921E-2</v>
      </c>
      <c r="K69" s="16">
        <v>263</v>
      </c>
      <c r="L69" s="20" t="str">
        <f t="shared" si="6"/>
        <v>כהן עוזי</v>
      </c>
      <c r="M69" s="49">
        <f t="shared" ca="1" si="7"/>
        <v>44774</v>
      </c>
      <c r="N69" s="50" cm="1">
        <f t="array" ref="N69">_xlfn.XLOOKUP(F69,Tickets!$B$4:$B$7,_xlfn.XLOOKUP(Students!G69,Tickets!$C$3:$E$3,Tickets!$C$4:$E$7,,0),,0)</f>
        <v>40</v>
      </c>
      <c r="O69" s="51">
        <f t="shared" si="8"/>
        <v>0.12961750481636147</v>
      </c>
      <c r="P69" s="20">
        <f>_xlfn.XLOOKUP($E69,Tickets!$E$12:$E$20,Tickets!C$12:C$20,,0)</f>
        <v>45.5</v>
      </c>
      <c r="Q69" s="51">
        <f>_xlfn.XLOOKUP($E69,Tickets!$E$12:$E$20,Tickets!D$12:D$20,,0)</f>
        <v>3.125E-2</v>
      </c>
      <c r="R69" s="50" cm="1">
        <f t="array" aca="1" ref="R69" ca="1">_xlfn.IFS(AND(U69&lt;=$Y$61,T69&lt;=$Z$61),$AA$61*_xlfn.XLOOKUP(F69,Tickets!$B$4:$B$7,Tickets!$E$4:$E$7,,0),OR(Students!T69&lt;=Students!$Z$62,Students!U69&gt;Students!$Y$63),Students!$AA$62*_xlfn.XLOOKUP(F69,Tickets!$B$4:$B$7,Tickets!$C$4:$C$7,,0),TRUE,0)</f>
        <v>0</v>
      </c>
      <c r="S69" s="48">
        <f t="shared" ca="1" si="9"/>
        <v>44774</v>
      </c>
      <c r="T69" s="45">
        <f t="shared" ca="1" si="10"/>
        <v>3.5833333333333335</v>
      </c>
      <c r="U69" s="52">
        <f t="shared" ca="1" si="11"/>
        <v>23.833333333333332</v>
      </c>
    </row>
    <row r="70" spans="1:21" x14ac:dyDescent="0.3">
      <c r="A70" s="17">
        <v>780334</v>
      </c>
      <c r="B70" s="18" t="s">
        <v>135</v>
      </c>
      <c r="C70" s="19" t="s">
        <v>167</v>
      </c>
      <c r="D70" s="13">
        <v>36114</v>
      </c>
      <c r="E70" s="12" t="s">
        <v>210</v>
      </c>
      <c r="F70" s="13" t="s">
        <v>204</v>
      </c>
      <c r="G70" s="13" t="s">
        <v>117</v>
      </c>
      <c r="H70" s="13">
        <v>43765</v>
      </c>
      <c r="I70" s="14">
        <v>0.91078222970287825</v>
      </c>
      <c r="J70" s="21">
        <v>2.1866555225753759E-2</v>
      </c>
      <c r="K70" s="16">
        <v>372</v>
      </c>
      <c r="L70" s="20" t="str">
        <f t="shared" si="6"/>
        <v>גולן עמיר</v>
      </c>
      <c r="M70" s="49">
        <f t="shared" ca="1" si="7"/>
        <v>44880</v>
      </c>
      <c r="N70" s="50" cm="1">
        <f t="array" ref="N70">_xlfn.XLOOKUP(F70,Tickets!$B$4:$B$7,_xlfn.XLOOKUP(Students!G70,Tickets!$C$3:$E$3,Tickets!$C$4:$E$7,,0),,0)</f>
        <v>70</v>
      </c>
      <c r="O70" s="51">
        <f t="shared" si="8"/>
        <v>0.1110843255228755</v>
      </c>
      <c r="P70" s="20">
        <f>_xlfn.XLOOKUP($E70,Tickets!$E$12:$E$20,Tickets!C$12:C$20,,0)</f>
        <v>19.899999999999999</v>
      </c>
      <c r="Q70" s="51">
        <f>_xlfn.XLOOKUP($E70,Tickets!$E$12:$E$20,Tickets!D$12:D$20,,0)</f>
        <v>1.9444444444444445E-2</v>
      </c>
      <c r="R70" s="50" cm="1">
        <f t="array" aca="1" ref="R70" ca="1">_xlfn.IFS(AND(U70&lt;=$Y$61,T70&lt;=$Z$61),$AA$61*_xlfn.XLOOKUP(F70,Tickets!$B$4:$B$7,Tickets!$E$4:$E$7,,0),OR(Students!T70&lt;=Students!$Z$62,Students!U70&gt;Students!$Y$63),Students!$AA$62*_xlfn.XLOOKUP(F70,Tickets!$B$4:$B$7,Tickets!$C$4:$C$7,,0),TRUE,0)</f>
        <v>0</v>
      </c>
      <c r="S70" s="48">
        <f t="shared" ca="1" si="9"/>
        <v>44880</v>
      </c>
      <c r="T70" s="45">
        <f t="shared" ca="1" si="10"/>
        <v>2.5833333333333335</v>
      </c>
      <c r="U70" s="52">
        <f t="shared" ca="1" si="11"/>
        <v>23.5</v>
      </c>
    </row>
    <row r="71" spans="1:21" x14ac:dyDescent="0.3">
      <c r="A71" s="17">
        <v>240427</v>
      </c>
      <c r="B71" s="18" t="s">
        <v>131</v>
      </c>
      <c r="C71" s="19" t="s">
        <v>168</v>
      </c>
      <c r="D71" s="13">
        <v>35395</v>
      </c>
      <c r="E71" s="12" t="s">
        <v>212</v>
      </c>
      <c r="F71" s="13" t="s">
        <v>203</v>
      </c>
      <c r="G71" s="13" t="s">
        <v>117</v>
      </c>
      <c r="H71" s="13">
        <v>44122</v>
      </c>
      <c r="I71" s="14">
        <v>0.90814484621337255</v>
      </c>
      <c r="J71" s="21">
        <v>0.95281820572721765</v>
      </c>
      <c r="K71" s="16">
        <v>346</v>
      </c>
      <c r="L71" s="20" t="str">
        <f t="shared" si="6"/>
        <v>דיין אסי</v>
      </c>
      <c r="M71" s="49">
        <f t="shared" ca="1" si="7"/>
        <v>44891</v>
      </c>
      <c r="N71" s="50" cm="1">
        <f t="array" ref="N71">_xlfn.XLOOKUP(F71,Tickets!$B$4:$B$7,_xlfn.XLOOKUP(Students!G71,Tickets!$C$3:$E$3,Tickets!$C$4:$E$7,,0),,0)</f>
        <v>60</v>
      </c>
      <c r="O71" s="51">
        <f t="shared" si="8"/>
        <v>4.4673359513845101E-2</v>
      </c>
      <c r="P71" s="20">
        <f>_xlfn.XLOOKUP($E71,Tickets!$E$12:$E$20,Tickets!C$12:C$20,,0)</f>
        <v>45.5</v>
      </c>
      <c r="Q71" s="51">
        <f>_xlfn.XLOOKUP($E71,Tickets!$E$12:$E$20,Tickets!D$12:D$20,,0)</f>
        <v>3.125E-2</v>
      </c>
      <c r="R71" s="50" cm="1">
        <f t="array" aca="1" ref="R71" ca="1">_xlfn.IFS(AND(U71&lt;=$Y$61,T71&lt;=$Z$61),$AA$61*_xlfn.XLOOKUP(F71,Tickets!$B$4:$B$7,Tickets!$E$4:$E$7,,0),OR(Students!T71&lt;=Students!$Z$62,Students!U71&gt;Students!$Y$63),Students!$AA$62*_xlfn.XLOOKUP(F71,Tickets!$B$4:$B$7,Tickets!$C$4:$C$7,,0),TRUE,0)</f>
        <v>180</v>
      </c>
      <c r="S71" s="48">
        <f t="shared" ca="1" si="9"/>
        <v>44891</v>
      </c>
      <c r="T71" s="45">
        <f t="shared" ca="1" si="10"/>
        <v>1.5833333333333333</v>
      </c>
      <c r="U71" s="52">
        <f t="shared" ca="1" si="11"/>
        <v>25.5</v>
      </c>
    </row>
    <row r="72" spans="1:21" x14ac:dyDescent="0.3">
      <c r="A72" s="17">
        <v>331453</v>
      </c>
      <c r="B72" s="18" t="s">
        <v>136</v>
      </c>
      <c r="C72" s="19" t="s">
        <v>55</v>
      </c>
      <c r="D72" s="13">
        <v>35338</v>
      </c>
      <c r="E72" s="12" t="s">
        <v>213</v>
      </c>
      <c r="F72" s="13" t="s">
        <v>196</v>
      </c>
      <c r="G72" s="13" t="s">
        <v>119</v>
      </c>
      <c r="H72" s="13">
        <v>43765</v>
      </c>
      <c r="I72" s="14">
        <v>0.80327216096166887</v>
      </c>
      <c r="J72" s="21">
        <v>0.88547528442900847</v>
      </c>
      <c r="K72" s="16">
        <v>114</v>
      </c>
      <c r="L72" s="20" t="str">
        <f t="shared" si="6"/>
        <v>רב יוסף</v>
      </c>
      <c r="M72" s="49">
        <f t="shared" ca="1" si="7"/>
        <v>44834</v>
      </c>
      <c r="N72" s="50" cm="1">
        <f t="array" ref="N72">_xlfn.XLOOKUP(F72,Tickets!$B$4:$B$7,_xlfn.XLOOKUP(Students!G72,Tickets!$C$3:$E$3,Tickets!$C$4:$E$7,,0),,0)</f>
        <v>130</v>
      </c>
      <c r="O72" s="51">
        <f t="shared" si="8"/>
        <v>8.2203123467339601E-2</v>
      </c>
      <c r="P72" s="20">
        <f>_xlfn.XLOOKUP($E72,Tickets!$E$12:$E$20,Tickets!C$12:C$20,,0)</f>
        <v>16.8</v>
      </c>
      <c r="Q72" s="51">
        <f>_xlfn.XLOOKUP($E72,Tickets!$E$12:$E$20,Tickets!D$12:D$20,,0)</f>
        <v>1.5277777777777777E-2</v>
      </c>
      <c r="R72" s="50" cm="1">
        <f t="array" aca="1" ref="R72" ca="1">_xlfn.IFS(AND(U72&lt;=$Y$61,T72&lt;=$Z$61),$AA$61*_xlfn.XLOOKUP(F72,Tickets!$B$4:$B$7,Tickets!$E$4:$E$7,,0),OR(Students!T72&lt;=Students!$Z$62,Students!U72&gt;Students!$Y$63),Students!$AA$62*_xlfn.XLOOKUP(F72,Tickets!$B$4:$B$7,Tickets!$C$4:$C$7,,0),TRUE,0)</f>
        <v>120</v>
      </c>
      <c r="S72" s="48">
        <f t="shared" ca="1" si="9"/>
        <v>44834</v>
      </c>
      <c r="T72" s="45">
        <f t="shared" ca="1" si="10"/>
        <v>2.5833333333333335</v>
      </c>
      <c r="U72" s="52">
        <f t="shared" ca="1" si="11"/>
        <v>25.666666666666668</v>
      </c>
    </row>
    <row r="73" spans="1:21" x14ac:dyDescent="0.3">
      <c r="A73" s="17">
        <v>721012</v>
      </c>
      <c r="B73" s="18" t="s">
        <v>137</v>
      </c>
      <c r="C73" s="19" t="s">
        <v>169</v>
      </c>
      <c r="D73" s="13">
        <v>34882</v>
      </c>
      <c r="E73" s="12" t="s">
        <v>212</v>
      </c>
      <c r="F73" s="13" t="s">
        <v>202</v>
      </c>
      <c r="G73" s="13" t="s">
        <v>118</v>
      </c>
      <c r="H73" s="13">
        <v>44122</v>
      </c>
      <c r="I73" s="14">
        <v>0.94970568778697873</v>
      </c>
      <c r="J73" s="21">
        <v>9.0057663247998132E-2</v>
      </c>
      <c r="K73" s="16">
        <v>312</v>
      </c>
      <c r="L73" s="20" t="str">
        <f t="shared" si="6"/>
        <v>תומר עמי</v>
      </c>
      <c r="M73" s="49">
        <f t="shared" ca="1" si="7"/>
        <v>44744</v>
      </c>
      <c r="N73" s="50" cm="1">
        <f t="array" ref="N73">_xlfn.XLOOKUP(F73,Tickets!$B$4:$B$7,_xlfn.XLOOKUP(Students!G73,Tickets!$C$3:$E$3,Tickets!$C$4:$E$7,,0),,0)</f>
        <v>70</v>
      </c>
      <c r="O73" s="51">
        <f t="shared" si="8"/>
        <v>0.14035197546101941</v>
      </c>
      <c r="P73" s="20">
        <f>_xlfn.XLOOKUP($E73,Tickets!$E$12:$E$20,Tickets!C$12:C$20,,0)</f>
        <v>45.5</v>
      </c>
      <c r="Q73" s="51">
        <f>_xlfn.XLOOKUP($E73,Tickets!$E$12:$E$20,Tickets!D$12:D$20,,0)</f>
        <v>3.125E-2</v>
      </c>
      <c r="R73" s="50" cm="1">
        <f t="array" aca="1" ref="R73" ca="1">_xlfn.IFS(AND(U73&lt;=$Y$61,T73&lt;=$Z$61),$AA$61*_xlfn.XLOOKUP(F73,Tickets!$B$4:$B$7,Tickets!$E$4:$E$7,,0),OR(Students!T73&lt;=Students!$Z$62,Students!U73&gt;Students!$Y$63),Students!$AA$62*_xlfn.XLOOKUP(F73,Tickets!$B$4:$B$7,Tickets!$C$4:$C$7,,0),TRUE,0)</f>
        <v>150</v>
      </c>
      <c r="S73" s="48">
        <f t="shared" ca="1" si="9"/>
        <v>44744</v>
      </c>
      <c r="T73" s="45">
        <f t="shared" ca="1" si="10"/>
        <v>1.5833333333333333</v>
      </c>
      <c r="U73" s="52">
        <f t="shared" ca="1" si="11"/>
        <v>26.916666666666668</v>
      </c>
    </row>
    <row r="74" spans="1:21" x14ac:dyDescent="0.3">
      <c r="A74" s="17">
        <v>877251</v>
      </c>
      <c r="B74" s="18" t="s">
        <v>138</v>
      </c>
      <c r="C74" s="19" t="s">
        <v>170</v>
      </c>
      <c r="D74" s="13">
        <v>35674</v>
      </c>
      <c r="E74" s="12" t="s">
        <v>212</v>
      </c>
      <c r="F74" s="13" t="s">
        <v>204</v>
      </c>
      <c r="G74" s="13" t="s">
        <v>118</v>
      </c>
      <c r="H74" s="13">
        <v>44122</v>
      </c>
      <c r="I74" s="14">
        <v>0.88475578692694579</v>
      </c>
      <c r="J74" s="21">
        <v>4.5467833602790053E-2</v>
      </c>
      <c r="K74" s="16">
        <v>194</v>
      </c>
      <c r="L74" s="20" t="str">
        <f t="shared" si="6"/>
        <v>בגין בני</v>
      </c>
      <c r="M74" s="49">
        <f t="shared" ca="1" si="7"/>
        <v>44805</v>
      </c>
      <c r="N74" s="50" cm="1">
        <f t="array" ref="N74">_xlfn.XLOOKUP(F74,Tickets!$B$4:$B$7,_xlfn.XLOOKUP(Students!G74,Tickets!$C$3:$E$3,Tickets!$C$4:$E$7,,0),,0)</f>
        <v>90</v>
      </c>
      <c r="O74" s="51">
        <f t="shared" si="8"/>
        <v>0.16071204667584427</v>
      </c>
      <c r="P74" s="20">
        <f>_xlfn.XLOOKUP($E74,Tickets!$E$12:$E$20,Tickets!C$12:C$20,,0)</f>
        <v>45.5</v>
      </c>
      <c r="Q74" s="51">
        <f>_xlfn.XLOOKUP($E74,Tickets!$E$12:$E$20,Tickets!D$12:D$20,,0)</f>
        <v>3.125E-2</v>
      </c>
      <c r="R74" s="50" cm="1">
        <f t="array" aca="1" ref="R74" ca="1">_xlfn.IFS(AND(U74&lt;=$Y$61,T74&lt;=$Z$61),$AA$61*_xlfn.XLOOKUP(F74,Tickets!$B$4:$B$7,Tickets!$E$4:$E$7,,0),OR(Students!T74&lt;=Students!$Z$62,Students!U74&gt;Students!$Y$63),Students!$AA$62*_xlfn.XLOOKUP(F74,Tickets!$B$4:$B$7,Tickets!$C$4:$C$7,,0),TRUE,0)</f>
        <v>210</v>
      </c>
      <c r="S74" s="48">
        <f t="shared" ca="1" si="9"/>
        <v>44805</v>
      </c>
      <c r="T74" s="45">
        <f t="shared" ca="1" si="10"/>
        <v>1.5833333333333333</v>
      </c>
      <c r="U74" s="52">
        <f t="shared" ca="1" si="11"/>
        <v>24.75</v>
      </c>
    </row>
    <row r="75" spans="1:21" x14ac:dyDescent="0.3">
      <c r="A75" s="17">
        <v>557169</v>
      </c>
      <c r="B75" s="18" t="s">
        <v>139</v>
      </c>
      <c r="C75" s="19" t="s">
        <v>151</v>
      </c>
      <c r="D75" s="13">
        <v>34827</v>
      </c>
      <c r="E75" s="12" t="s">
        <v>203</v>
      </c>
      <c r="F75" s="13" t="s">
        <v>203</v>
      </c>
      <c r="G75" s="13" t="s">
        <v>118</v>
      </c>
      <c r="H75" s="13">
        <v>43387</v>
      </c>
      <c r="I75" s="14">
        <v>0.84195207781026715</v>
      </c>
      <c r="J75" s="21">
        <v>0.99463583255214605</v>
      </c>
      <c r="K75" s="16">
        <v>231</v>
      </c>
      <c r="L75" s="20" t="str">
        <f t="shared" si="6"/>
        <v>כוכב גיל</v>
      </c>
      <c r="M75" s="49">
        <f t="shared" ca="1" si="7"/>
        <v>45054</v>
      </c>
      <c r="N75" s="50" cm="1">
        <f t="array" ref="N75">_xlfn.XLOOKUP(F75,Tickets!$B$4:$B$7,_xlfn.XLOOKUP(Students!G75,Tickets!$C$3:$E$3,Tickets!$C$4:$E$7,,0),,0)</f>
        <v>80</v>
      </c>
      <c r="O75" s="51">
        <f t="shared" si="8"/>
        <v>0.1526837547418789</v>
      </c>
      <c r="P75" s="20">
        <f>_xlfn.XLOOKUP($E75,Tickets!$E$12:$E$20,Tickets!C$12:C$20,,0)</f>
        <v>25.4</v>
      </c>
      <c r="Q75" s="51">
        <f>_xlfn.XLOOKUP($E75,Tickets!$E$12:$E$20,Tickets!D$12:D$20,,0)</f>
        <v>2.7083333333333334E-2</v>
      </c>
      <c r="R75" s="50" cm="1">
        <f t="array" aca="1" ref="R75" ca="1">_xlfn.IFS(AND(U75&lt;=$Y$61,T75&lt;=$Z$61),$AA$61*_xlfn.XLOOKUP(F75,Tickets!$B$4:$B$7,Tickets!$E$4:$E$7,,0),OR(Students!T75&lt;=Students!$Z$62,Students!U75&gt;Students!$Y$63),Students!$AA$62*_xlfn.XLOOKUP(F75,Tickets!$B$4:$B$7,Tickets!$C$4:$C$7,,0),TRUE,0)</f>
        <v>180</v>
      </c>
      <c r="S75" s="48">
        <f t="shared" ca="1" si="9"/>
        <v>44689</v>
      </c>
      <c r="T75" s="45">
        <f t="shared" ca="1" si="10"/>
        <v>3.5833333333333335</v>
      </c>
      <c r="U75" s="52">
        <f t="shared" ca="1" si="11"/>
        <v>27.083333333333332</v>
      </c>
    </row>
    <row r="76" spans="1:21" x14ac:dyDescent="0.3">
      <c r="A76" s="17">
        <v>477624</v>
      </c>
      <c r="B76" s="18" t="s">
        <v>140</v>
      </c>
      <c r="C76" s="19" t="s">
        <v>171</v>
      </c>
      <c r="D76" s="13">
        <v>35945</v>
      </c>
      <c r="E76" s="12" t="s">
        <v>203</v>
      </c>
      <c r="F76" s="13" t="s">
        <v>203</v>
      </c>
      <c r="G76" s="13" t="s">
        <v>117</v>
      </c>
      <c r="H76" s="13">
        <v>43387</v>
      </c>
      <c r="I76" s="14">
        <v>0.93162967419245213</v>
      </c>
      <c r="J76" s="21">
        <v>0.99746675897049286</v>
      </c>
      <c r="K76" s="16">
        <v>59</v>
      </c>
      <c r="L76" s="20" t="str">
        <f t="shared" si="6"/>
        <v>אברג'יל לינור</v>
      </c>
      <c r="M76" s="49">
        <f t="shared" ca="1" si="7"/>
        <v>45076</v>
      </c>
      <c r="N76" s="50" cm="1">
        <f t="array" ref="N76">_xlfn.XLOOKUP(F76,Tickets!$B$4:$B$7,_xlfn.XLOOKUP(Students!G76,Tickets!$C$3:$E$3,Tickets!$C$4:$E$7,,0),,0)</f>
        <v>60</v>
      </c>
      <c r="O76" s="51">
        <f t="shared" si="8"/>
        <v>6.5837084778040733E-2</v>
      </c>
      <c r="P76" s="20">
        <f>_xlfn.XLOOKUP($E76,Tickets!$E$12:$E$20,Tickets!C$12:C$20,,0)</f>
        <v>25.4</v>
      </c>
      <c r="Q76" s="51">
        <f>_xlfn.XLOOKUP($E76,Tickets!$E$12:$E$20,Tickets!D$12:D$20,,0)</f>
        <v>2.7083333333333334E-2</v>
      </c>
      <c r="R76" s="50" cm="1">
        <f t="array" aca="1" ref="R76" ca="1">_xlfn.IFS(AND(U76&lt;=$Y$61,T76&lt;=$Z$61),$AA$61*_xlfn.XLOOKUP(F76,Tickets!$B$4:$B$7,Tickets!$E$4:$E$7,,0),OR(Students!T76&lt;=Students!$Z$62,Students!U76&gt;Students!$Y$63),Students!$AA$62*_xlfn.XLOOKUP(F76,Tickets!$B$4:$B$7,Tickets!$C$4:$C$7,,0),TRUE,0)</f>
        <v>0</v>
      </c>
      <c r="S76" s="48">
        <f t="shared" ca="1" si="9"/>
        <v>44711</v>
      </c>
      <c r="T76" s="45">
        <f t="shared" ca="1" si="10"/>
        <v>3.5833333333333335</v>
      </c>
      <c r="U76" s="52">
        <f t="shared" ca="1" si="11"/>
        <v>24</v>
      </c>
    </row>
    <row r="77" spans="1:21" x14ac:dyDescent="0.3">
      <c r="A77" s="17">
        <v>791569</v>
      </c>
      <c r="B77" s="18" t="s">
        <v>141</v>
      </c>
      <c r="C77" s="19" t="s">
        <v>172</v>
      </c>
      <c r="D77" s="13">
        <v>35973</v>
      </c>
      <c r="E77" s="12" t="s">
        <v>211</v>
      </c>
      <c r="F77" s="13" t="s">
        <v>204</v>
      </c>
      <c r="G77" s="13" t="s">
        <v>119</v>
      </c>
      <c r="H77" s="13">
        <v>43765</v>
      </c>
      <c r="I77" s="14">
        <v>0.8859157106658313</v>
      </c>
      <c r="J77" s="21">
        <v>0.99879091641771944</v>
      </c>
      <c r="K77" s="16">
        <v>78</v>
      </c>
      <c r="L77" s="20" t="str">
        <f t="shared" si="6"/>
        <v>אבירי תמי</v>
      </c>
      <c r="M77" s="49">
        <f t="shared" ca="1" si="7"/>
        <v>44739</v>
      </c>
      <c r="N77" s="50" cm="1">
        <f t="array" ref="N77">_xlfn.XLOOKUP(F77,Tickets!$B$4:$B$7,_xlfn.XLOOKUP(Students!G77,Tickets!$C$3:$E$3,Tickets!$C$4:$E$7,,0),,0)</f>
        <v>100</v>
      </c>
      <c r="O77" s="51">
        <f t="shared" si="8"/>
        <v>0.11287520575188814</v>
      </c>
      <c r="P77" s="20">
        <f>_xlfn.XLOOKUP($E77,Tickets!$E$12:$E$20,Tickets!C$12:C$20,,0)</f>
        <v>14.7</v>
      </c>
      <c r="Q77" s="51">
        <f>_xlfn.XLOOKUP($E77,Tickets!$E$12:$E$20,Tickets!D$12:D$20,,0)</f>
        <v>1.6666666666666666E-2</v>
      </c>
      <c r="R77" s="50" cm="1">
        <f t="array" aca="1" ref="R77" ca="1">_xlfn.IFS(AND(U77&lt;=$Y$61,T77&lt;=$Z$61),$AA$61*_xlfn.XLOOKUP(F77,Tickets!$B$4:$B$7,Tickets!$E$4:$E$7,,0),OR(Students!T77&lt;=Students!$Z$62,Students!U77&gt;Students!$Y$63),Students!$AA$62*_xlfn.XLOOKUP(F77,Tickets!$B$4:$B$7,Tickets!$C$4:$C$7,,0),TRUE,0)</f>
        <v>0</v>
      </c>
      <c r="S77" s="48">
        <f t="shared" ca="1" si="9"/>
        <v>44739</v>
      </c>
      <c r="T77" s="45">
        <f t="shared" ca="1" si="10"/>
        <v>2.5833333333333335</v>
      </c>
      <c r="U77" s="52">
        <f t="shared" ca="1" si="11"/>
        <v>23.916666666666668</v>
      </c>
    </row>
    <row r="78" spans="1:21" x14ac:dyDescent="0.3">
      <c r="A78" s="17">
        <v>890458</v>
      </c>
      <c r="B78" s="18" t="s">
        <v>4</v>
      </c>
      <c r="C78" s="19" t="s">
        <v>173</v>
      </c>
      <c r="D78" s="13">
        <v>35102</v>
      </c>
      <c r="E78" s="12" t="s">
        <v>203</v>
      </c>
      <c r="F78" s="13" t="s">
        <v>203</v>
      </c>
      <c r="G78" s="13" t="s">
        <v>119</v>
      </c>
      <c r="H78" s="13">
        <v>44122</v>
      </c>
      <c r="I78" s="14">
        <v>0.80324398861649371</v>
      </c>
      <c r="J78" s="21">
        <v>0.90638920920483423</v>
      </c>
      <c r="K78" s="16">
        <v>461</v>
      </c>
      <c r="L78" s="20" t="str">
        <f t="shared" si="6"/>
        <v>לוי דוד</v>
      </c>
      <c r="M78" s="49">
        <f t="shared" ca="1" si="7"/>
        <v>44964</v>
      </c>
      <c r="N78" s="50" cm="1">
        <f t="array" ref="N78">_xlfn.XLOOKUP(F78,Tickets!$B$4:$B$7,_xlfn.XLOOKUP(Students!G78,Tickets!$C$3:$E$3,Tickets!$C$4:$E$7,,0),,0)</f>
        <v>110</v>
      </c>
      <c r="O78" s="51">
        <f t="shared" si="8"/>
        <v>0.10314522058834052</v>
      </c>
      <c r="P78" s="20">
        <f>_xlfn.XLOOKUP($E78,Tickets!$E$12:$E$20,Tickets!C$12:C$20,,0)</f>
        <v>25.4</v>
      </c>
      <c r="Q78" s="51">
        <f>_xlfn.XLOOKUP($E78,Tickets!$E$12:$E$20,Tickets!D$12:D$20,,0)</f>
        <v>2.7083333333333334E-2</v>
      </c>
      <c r="R78" s="50" cm="1">
        <f t="array" aca="1" ref="R78" ca="1">_xlfn.IFS(AND(U78&lt;=$Y$61,T78&lt;=$Z$61),$AA$61*_xlfn.XLOOKUP(F78,Tickets!$B$4:$B$7,Tickets!$E$4:$E$7,,0),OR(Students!T78&lt;=Students!$Z$62,Students!U78&gt;Students!$Y$63),Students!$AA$62*_xlfn.XLOOKUP(F78,Tickets!$B$4:$B$7,Tickets!$C$4:$C$7,,0),TRUE,0)</f>
        <v>180</v>
      </c>
      <c r="S78" s="48">
        <f t="shared" ca="1" si="9"/>
        <v>44599</v>
      </c>
      <c r="T78" s="45">
        <f t="shared" ca="1" si="10"/>
        <v>1.5833333333333333</v>
      </c>
      <c r="U78" s="52">
        <f t="shared" ca="1" si="11"/>
        <v>26.333333333333332</v>
      </c>
    </row>
    <row r="79" spans="1:21" x14ac:dyDescent="0.3">
      <c r="A79" s="17">
        <v>359777</v>
      </c>
      <c r="B79" s="18" t="s">
        <v>134</v>
      </c>
      <c r="C79" s="19" t="s">
        <v>174</v>
      </c>
      <c r="D79" s="13">
        <v>36707</v>
      </c>
      <c r="E79" s="12" t="s">
        <v>212</v>
      </c>
      <c r="F79" s="13" t="s">
        <v>203</v>
      </c>
      <c r="G79" s="13" t="s">
        <v>119</v>
      </c>
      <c r="H79" s="13">
        <v>43387</v>
      </c>
      <c r="I79" s="14">
        <v>0.7679484348668959</v>
      </c>
      <c r="J79" s="21">
        <v>0.85062571905575757</v>
      </c>
      <c r="K79" s="16">
        <v>79</v>
      </c>
      <c r="L79" s="20" t="str">
        <f t="shared" si="6"/>
        <v>בן זהבה</v>
      </c>
      <c r="M79" s="49">
        <f t="shared" ca="1" si="7"/>
        <v>44742</v>
      </c>
      <c r="N79" s="50" cm="1">
        <f t="array" ref="N79">_xlfn.XLOOKUP(F79,Tickets!$B$4:$B$7,_xlfn.XLOOKUP(Students!G79,Tickets!$C$3:$E$3,Tickets!$C$4:$E$7,,0),,0)</f>
        <v>110</v>
      </c>
      <c r="O79" s="51">
        <f t="shared" si="8"/>
        <v>8.2677284188861666E-2</v>
      </c>
      <c r="P79" s="20">
        <f>_xlfn.XLOOKUP($E79,Tickets!$E$12:$E$20,Tickets!C$12:C$20,,0)</f>
        <v>45.5</v>
      </c>
      <c r="Q79" s="51">
        <f>_xlfn.XLOOKUP($E79,Tickets!$E$12:$E$20,Tickets!D$12:D$20,,0)</f>
        <v>3.125E-2</v>
      </c>
      <c r="R79" s="50" cm="1">
        <f t="array" aca="1" ref="R79" ca="1">_xlfn.IFS(AND(U79&lt;=$Y$61,T79&lt;=$Z$61),$AA$61*_xlfn.XLOOKUP(F79,Tickets!$B$4:$B$7,Tickets!$E$4:$E$7,,0),OR(Students!T79&lt;=Students!$Z$62,Students!U79&gt;Students!$Y$63),Students!$AA$62*_xlfn.XLOOKUP(F79,Tickets!$B$4:$B$7,Tickets!$C$4:$C$7,,0),TRUE,0)</f>
        <v>0</v>
      </c>
      <c r="S79" s="48">
        <f t="shared" ca="1" si="9"/>
        <v>44742</v>
      </c>
      <c r="T79" s="45">
        <f t="shared" ca="1" si="10"/>
        <v>3.5833333333333335</v>
      </c>
      <c r="U79" s="52">
        <f t="shared" ca="1" si="11"/>
        <v>21.916666666666668</v>
      </c>
    </row>
    <row r="80" spans="1:21" x14ac:dyDescent="0.3">
      <c r="A80" s="17">
        <v>660341</v>
      </c>
      <c r="B80" s="18" t="s">
        <v>142</v>
      </c>
      <c r="C80" s="19" t="s">
        <v>175</v>
      </c>
      <c r="D80" s="13">
        <v>36063</v>
      </c>
      <c r="E80" s="12" t="s">
        <v>208</v>
      </c>
      <c r="F80" s="13" t="s">
        <v>196</v>
      </c>
      <c r="G80" s="13" t="s">
        <v>117</v>
      </c>
      <c r="H80" s="13">
        <v>43765</v>
      </c>
      <c r="I80" s="14">
        <v>0.78212679469344848</v>
      </c>
      <c r="J80" s="21">
        <v>0.86174301135346565</v>
      </c>
      <c r="K80" s="16">
        <v>196</v>
      </c>
      <c r="L80" s="20" t="str">
        <f t="shared" si="6"/>
        <v>הכהן יורם</v>
      </c>
      <c r="M80" s="49">
        <f t="shared" ca="1" si="7"/>
        <v>44829</v>
      </c>
      <c r="N80" s="50" cm="1">
        <f t="array" ref="N80">_xlfn.XLOOKUP(F80,Tickets!$B$4:$B$7,_xlfn.XLOOKUP(Students!G80,Tickets!$C$3:$E$3,Tickets!$C$4:$E$7,,0),,0)</f>
        <v>40</v>
      </c>
      <c r="O80" s="51">
        <f t="shared" si="8"/>
        <v>7.9616216660017169E-2</v>
      </c>
      <c r="P80" s="20">
        <f>_xlfn.XLOOKUP($E80,Tickets!$E$12:$E$20,Tickets!C$12:C$20,,0)</f>
        <v>29.7</v>
      </c>
      <c r="Q80" s="51">
        <f>_xlfn.XLOOKUP($E80,Tickets!$E$12:$E$20,Tickets!D$12:D$20,,0)</f>
        <v>1.8749999999999999E-2</v>
      </c>
      <c r="R80" s="50" cm="1">
        <f t="array" aca="1" ref="R80" ca="1">_xlfn.IFS(AND(U80&lt;=$Y$61,T80&lt;=$Z$61),$AA$61*_xlfn.XLOOKUP(F80,Tickets!$B$4:$B$7,Tickets!$E$4:$E$7,,0),OR(Students!T80&lt;=Students!$Z$62,Students!U80&gt;Students!$Y$63),Students!$AA$62*_xlfn.XLOOKUP(F80,Tickets!$B$4:$B$7,Tickets!$C$4:$C$7,,0),TRUE,0)</f>
        <v>0</v>
      </c>
      <c r="S80" s="48">
        <f t="shared" ca="1" si="9"/>
        <v>44829</v>
      </c>
      <c r="T80" s="45">
        <f t="shared" ca="1" si="10"/>
        <v>2.5833333333333335</v>
      </c>
      <c r="U80" s="52">
        <f t="shared" ca="1" si="11"/>
        <v>23.666666666666668</v>
      </c>
    </row>
    <row r="81" spans="1:21" x14ac:dyDescent="0.3">
      <c r="A81" s="17">
        <v>281430</v>
      </c>
      <c r="B81" s="18" t="s">
        <v>143</v>
      </c>
      <c r="C81" s="19" t="s">
        <v>176</v>
      </c>
      <c r="D81" s="13">
        <v>35314</v>
      </c>
      <c r="E81" s="12" t="s">
        <v>210</v>
      </c>
      <c r="F81" s="13" t="s">
        <v>196</v>
      </c>
      <c r="G81" s="13" t="s">
        <v>118</v>
      </c>
      <c r="H81" s="13">
        <v>44479</v>
      </c>
      <c r="I81" s="14">
        <v>0.82192775843066035</v>
      </c>
      <c r="J81" s="21">
        <v>0.88357587125606984</v>
      </c>
      <c r="K81" s="16">
        <v>160</v>
      </c>
      <c r="L81" s="20" t="str">
        <f t="shared" si="6"/>
        <v>נווה יקיר</v>
      </c>
      <c r="M81" s="49">
        <f t="shared" ca="1" si="7"/>
        <v>44810</v>
      </c>
      <c r="N81" s="50" cm="1">
        <f t="array" ref="N81">_xlfn.XLOOKUP(F81,Tickets!$B$4:$B$7,_xlfn.XLOOKUP(Students!G81,Tickets!$C$3:$E$3,Tickets!$C$4:$E$7,,0),,0)</f>
        <v>60</v>
      </c>
      <c r="O81" s="51">
        <f t="shared" si="8"/>
        <v>6.1648112825409496E-2</v>
      </c>
      <c r="P81" s="20">
        <f>_xlfn.XLOOKUP($E81,Tickets!$E$12:$E$20,Tickets!C$12:C$20,,0)</f>
        <v>19.899999999999999</v>
      </c>
      <c r="Q81" s="51">
        <f>_xlfn.XLOOKUP($E81,Tickets!$E$12:$E$20,Tickets!D$12:D$20,,0)</f>
        <v>1.9444444444444445E-2</v>
      </c>
      <c r="R81" s="50" cm="1">
        <f t="array" aca="1" ref="R81" ca="1">_xlfn.IFS(AND(U81&lt;=$Y$61,T81&lt;=$Z$61),$AA$61*_xlfn.XLOOKUP(F81,Tickets!$B$4:$B$7,Tickets!$E$4:$E$7,,0),OR(Students!T81&lt;=Students!$Z$62,Students!U81&gt;Students!$Y$63),Students!$AA$62*_xlfn.XLOOKUP(F81,Tickets!$B$4:$B$7,Tickets!$C$4:$C$7,,0),TRUE,0)</f>
        <v>120</v>
      </c>
      <c r="S81" s="48">
        <f t="shared" ca="1" si="9"/>
        <v>44810</v>
      </c>
      <c r="T81" s="45">
        <f t="shared" ca="1" si="10"/>
        <v>0.66666666666666663</v>
      </c>
      <c r="U81" s="52">
        <f t="shared" ca="1" si="11"/>
        <v>25.75</v>
      </c>
    </row>
    <row r="82" spans="1:21" x14ac:dyDescent="0.3">
      <c r="A82" s="17">
        <v>203058</v>
      </c>
      <c r="B82" s="18" t="s">
        <v>144</v>
      </c>
      <c r="C82" s="19" t="s">
        <v>177</v>
      </c>
      <c r="D82" s="13">
        <v>36094</v>
      </c>
      <c r="E82" s="12" t="s">
        <v>210</v>
      </c>
      <c r="F82" s="13" t="s">
        <v>202</v>
      </c>
      <c r="G82" s="13" t="s">
        <v>119</v>
      </c>
      <c r="H82" s="13">
        <v>43765</v>
      </c>
      <c r="I82" s="14">
        <v>0.84861349642313555</v>
      </c>
      <c r="J82" s="21">
        <v>7.5597598225669582E-3</v>
      </c>
      <c r="K82" s="16">
        <v>71</v>
      </c>
      <c r="L82" s="20" t="str">
        <f t="shared" si="6"/>
        <v>בן-נר נרי</v>
      </c>
      <c r="M82" s="49">
        <f t="shared" ca="1" si="7"/>
        <v>44860</v>
      </c>
      <c r="N82" s="50" cm="1">
        <f t="array" ref="N82">_xlfn.XLOOKUP(F82,Tickets!$B$4:$B$7,_xlfn.XLOOKUP(Students!G82,Tickets!$C$3:$E$3,Tickets!$C$4:$E$7,,0),,0)</f>
        <v>120</v>
      </c>
      <c r="O82" s="51">
        <f t="shared" si="8"/>
        <v>0.15894626339943141</v>
      </c>
      <c r="P82" s="20">
        <f>_xlfn.XLOOKUP($E82,Tickets!$E$12:$E$20,Tickets!C$12:C$20,,0)</f>
        <v>19.899999999999999</v>
      </c>
      <c r="Q82" s="51">
        <f>_xlfn.XLOOKUP($E82,Tickets!$E$12:$E$20,Tickets!D$12:D$20,,0)</f>
        <v>1.9444444444444445E-2</v>
      </c>
      <c r="R82" s="50" cm="1">
        <f t="array" aca="1" ref="R82" ca="1">_xlfn.IFS(AND(U82&lt;=$Y$61,T82&lt;=$Z$61),$AA$61*_xlfn.XLOOKUP(F82,Tickets!$B$4:$B$7,Tickets!$E$4:$E$7,,0),OR(Students!T82&lt;=Students!$Z$62,Students!U82&gt;Students!$Y$63),Students!$AA$62*_xlfn.XLOOKUP(F82,Tickets!$B$4:$B$7,Tickets!$C$4:$C$7,,0),TRUE,0)</f>
        <v>0</v>
      </c>
      <c r="S82" s="48">
        <f t="shared" ca="1" si="9"/>
        <v>44860</v>
      </c>
      <c r="T82" s="45">
        <f t="shared" ca="1" si="10"/>
        <v>2.5833333333333335</v>
      </c>
      <c r="U82" s="52">
        <f t="shared" ca="1" si="11"/>
        <v>23.583333333333332</v>
      </c>
    </row>
    <row r="83" spans="1:21" x14ac:dyDescent="0.3">
      <c r="A83" s="17">
        <v>389118</v>
      </c>
      <c r="B83" s="18" t="s">
        <v>66</v>
      </c>
      <c r="C83" s="19" t="s">
        <v>66</v>
      </c>
      <c r="D83" s="13">
        <v>36094</v>
      </c>
      <c r="E83" s="12" t="s">
        <v>213</v>
      </c>
      <c r="F83" s="13" t="s">
        <v>204</v>
      </c>
      <c r="G83" s="13" t="s">
        <v>118</v>
      </c>
      <c r="H83" s="13">
        <v>43765</v>
      </c>
      <c r="I83" s="14">
        <v>0.92175237826553702</v>
      </c>
      <c r="J83" s="21">
        <v>2.3193099560978814E-2</v>
      </c>
      <c r="K83" s="16">
        <v>28</v>
      </c>
      <c r="L83" s="20" t="str">
        <f t="shared" si="6"/>
        <v>רחל רחל</v>
      </c>
      <c r="M83" s="49">
        <f t="shared" ca="1" si="7"/>
        <v>44860</v>
      </c>
      <c r="N83" s="50" cm="1">
        <f t="array" ref="N83">_xlfn.XLOOKUP(F83,Tickets!$B$4:$B$7,_xlfn.XLOOKUP(Students!G83,Tickets!$C$3:$E$3,Tickets!$C$4:$E$7,,0),,0)</f>
        <v>90</v>
      </c>
      <c r="O83" s="51">
        <f t="shared" si="8"/>
        <v>0.10144072129544179</v>
      </c>
      <c r="P83" s="20">
        <f>_xlfn.XLOOKUP($E83,Tickets!$E$12:$E$20,Tickets!C$12:C$20,,0)</f>
        <v>16.8</v>
      </c>
      <c r="Q83" s="51">
        <f>_xlfn.XLOOKUP($E83,Tickets!$E$12:$E$20,Tickets!D$12:D$20,,0)</f>
        <v>1.5277777777777777E-2</v>
      </c>
      <c r="R83" s="50" cm="1">
        <f t="array" aca="1" ref="R83" ca="1">_xlfn.IFS(AND(U83&lt;=$Y$61,T83&lt;=$Z$61),$AA$61*_xlfn.XLOOKUP(F83,Tickets!$B$4:$B$7,Tickets!$E$4:$E$7,,0),OR(Students!T83&lt;=Students!$Z$62,Students!U83&gt;Students!$Y$63),Students!$AA$62*_xlfn.XLOOKUP(F83,Tickets!$B$4:$B$7,Tickets!$C$4:$C$7,,0),TRUE,0)</f>
        <v>0</v>
      </c>
      <c r="S83" s="48">
        <f t="shared" ca="1" si="9"/>
        <v>44860</v>
      </c>
      <c r="T83" s="45">
        <f t="shared" ca="1" si="10"/>
        <v>2.5833333333333335</v>
      </c>
      <c r="U83" s="52">
        <f t="shared" ca="1" si="11"/>
        <v>23.583333333333332</v>
      </c>
    </row>
    <row r="84" spans="1:21" x14ac:dyDescent="0.3">
      <c r="A84" s="17">
        <v>960184</v>
      </c>
      <c r="B84" s="18" t="s">
        <v>4</v>
      </c>
      <c r="C84" s="19" t="s">
        <v>178</v>
      </c>
      <c r="D84" s="13">
        <v>36506</v>
      </c>
      <c r="E84" s="12" t="s">
        <v>212</v>
      </c>
      <c r="F84" s="13" t="s">
        <v>204</v>
      </c>
      <c r="G84" s="13" t="s">
        <v>119</v>
      </c>
      <c r="H84" s="13">
        <v>44122</v>
      </c>
      <c r="I84" s="14">
        <v>0.90518712319028416</v>
      </c>
      <c r="J84" s="21">
        <v>3.9072175786048824E-2</v>
      </c>
      <c r="K84" s="16">
        <v>393</v>
      </c>
      <c r="L84" s="20" t="str">
        <f t="shared" si="6"/>
        <v>לוי שירי</v>
      </c>
      <c r="M84" s="49">
        <f t="shared" ca="1" si="7"/>
        <v>44907</v>
      </c>
      <c r="N84" s="50" cm="1">
        <f t="array" ref="N84">_xlfn.XLOOKUP(F84,Tickets!$B$4:$B$7,_xlfn.XLOOKUP(Students!G84,Tickets!$C$3:$E$3,Tickets!$C$4:$E$7,,0),,0)</f>
        <v>100</v>
      </c>
      <c r="O84" s="51">
        <f t="shared" si="8"/>
        <v>0.13388505259576466</v>
      </c>
      <c r="P84" s="20">
        <f>_xlfn.XLOOKUP($E84,Tickets!$E$12:$E$20,Tickets!C$12:C$20,,0)</f>
        <v>45.5</v>
      </c>
      <c r="Q84" s="51">
        <f>_xlfn.XLOOKUP($E84,Tickets!$E$12:$E$20,Tickets!D$12:D$20,,0)</f>
        <v>3.125E-2</v>
      </c>
      <c r="R84" s="50" cm="1">
        <f t="array" aca="1" ref="R84" ca="1">_xlfn.IFS(AND(U84&lt;=$Y$61,T84&lt;=$Z$61),$AA$61*_xlfn.XLOOKUP(F84,Tickets!$B$4:$B$7,Tickets!$E$4:$E$7,,0),OR(Students!T84&lt;=Students!$Z$62,Students!U84&gt;Students!$Y$63),Students!$AA$62*_xlfn.XLOOKUP(F84,Tickets!$B$4:$B$7,Tickets!$C$4:$C$7,,0),TRUE,0)</f>
        <v>210</v>
      </c>
      <c r="S84" s="48">
        <f t="shared" ca="1" si="9"/>
        <v>44907</v>
      </c>
      <c r="T84" s="45">
        <f t="shared" ca="1" si="10"/>
        <v>1.5833333333333333</v>
      </c>
      <c r="U84" s="52">
        <f t="shared" ca="1" si="11"/>
        <v>22.5</v>
      </c>
    </row>
    <row r="85" spans="1:21" x14ac:dyDescent="0.3">
      <c r="A85" s="17">
        <v>224807</v>
      </c>
      <c r="B85" s="18" t="s">
        <v>145</v>
      </c>
      <c r="C85" s="19" t="s">
        <v>110</v>
      </c>
      <c r="D85" s="13">
        <v>35393</v>
      </c>
      <c r="E85" s="12" t="s">
        <v>209</v>
      </c>
      <c r="F85" s="13" t="s">
        <v>203</v>
      </c>
      <c r="G85" s="13" t="s">
        <v>118</v>
      </c>
      <c r="H85" s="13">
        <v>43387</v>
      </c>
      <c r="I85" s="14">
        <v>0.79543173324611294</v>
      </c>
      <c r="J85" s="21">
        <v>0.92725779808351871</v>
      </c>
      <c r="K85" s="16">
        <v>145</v>
      </c>
      <c r="L85" s="20" t="str">
        <f t="shared" si="6"/>
        <v>דברת יעל</v>
      </c>
      <c r="M85" s="49">
        <f t="shared" ca="1" si="7"/>
        <v>44889</v>
      </c>
      <c r="N85" s="50" cm="1">
        <f t="array" ref="N85">_xlfn.XLOOKUP(F85,Tickets!$B$4:$B$7,_xlfn.XLOOKUP(Students!G85,Tickets!$C$3:$E$3,Tickets!$C$4:$E$7,,0),,0)</f>
        <v>80</v>
      </c>
      <c r="O85" s="51">
        <f t="shared" si="8"/>
        <v>0.13182606483740578</v>
      </c>
      <c r="P85" s="20">
        <f>_xlfn.XLOOKUP($E85,Tickets!$E$12:$E$20,Tickets!C$12:C$20,,0)</f>
        <v>3.3</v>
      </c>
      <c r="Q85" s="51">
        <f>_xlfn.XLOOKUP($E85,Tickets!$E$12:$E$20,Tickets!D$12:D$20,,0)</f>
        <v>5.5555555555555558E-3</v>
      </c>
      <c r="R85" s="50" cm="1">
        <f t="array" aca="1" ref="R85" ca="1">_xlfn.IFS(AND(U85&lt;=$Y$61,T85&lt;=$Z$61),$AA$61*_xlfn.XLOOKUP(F85,Tickets!$B$4:$B$7,Tickets!$E$4:$E$7,,0),OR(Students!T85&lt;=Students!$Z$62,Students!U85&gt;Students!$Y$63),Students!$AA$62*_xlfn.XLOOKUP(F85,Tickets!$B$4:$B$7,Tickets!$C$4:$C$7,,0),TRUE,0)</f>
        <v>180</v>
      </c>
      <c r="S85" s="48">
        <f t="shared" ca="1" si="9"/>
        <v>44889</v>
      </c>
      <c r="T85" s="45">
        <f t="shared" ca="1" si="10"/>
        <v>3.5833333333333335</v>
      </c>
      <c r="U85" s="52">
        <f t="shared" ca="1" si="11"/>
        <v>25.5</v>
      </c>
    </row>
    <row r="86" spans="1:21" x14ac:dyDescent="0.3">
      <c r="A86" s="17">
        <v>826578</v>
      </c>
      <c r="B86" s="18" t="s">
        <v>11</v>
      </c>
      <c r="C86" s="19" t="s">
        <v>101</v>
      </c>
      <c r="D86" s="13">
        <v>35954</v>
      </c>
      <c r="E86" s="12" t="s">
        <v>207</v>
      </c>
      <c r="F86" s="13" t="s">
        <v>196</v>
      </c>
      <c r="G86" s="13" t="s">
        <v>117</v>
      </c>
      <c r="H86" s="13">
        <v>43387</v>
      </c>
      <c r="I86" s="14">
        <v>0.75456269303455126</v>
      </c>
      <c r="J86" s="21">
        <v>0.83185816113557032</v>
      </c>
      <c r="K86" s="16">
        <v>409</v>
      </c>
      <c r="L86" s="20" t="str">
        <f t="shared" si="6"/>
        <v>כהן לאה</v>
      </c>
      <c r="M86" s="49">
        <f t="shared" ca="1" si="7"/>
        <v>45085</v>
      </c>
      <c r="N86" s="50" cm="1">
        <f t="array" ref="N86">_xlfn.XLOOKUP(F86,Tickets!$B$4:$B$7,_xlfn.XLOOKUP(Students!G86,Tickets!$C$3:$E$3,Tickets!$C$4:$E$7,,0),,0)</f>
        <v>40</v>
      </c>
      <c r="O86" s="51">
        <f t="shared" si="8"/>
        <v>7.729546810101906E-2</v>
      </c>
      <c r="P86" s="20">
        <f>_xlfn.XLOOKUP($E86,Tickets!$E$12:$E$20,Tickets!C$12:C$20,,0)</f>
        <v>31.7</v>
      </c>
      <c r="Q86" s="51">
        <f>_xlfn.XLOOKUP($E86,Tickets!$E$12:$E$20,Tickets!D$12:D$20,,0)</f>
        <v>2.013888888888889E-2</v>
      </c>
      <c r="R86" s="50" cm="1">
        <f t="array" aca="1" ref="R86" ca="1">_xlfn.IFS(AND(U86&lt;=$Y$61,T86&lt;=$Z$61),$AA$61*_xlfn.XLOOKUP(F86,Tickets!$B$4:$B$7,Tickets!$E$4:$E$7,,0),OR(Students!T86&lt;=Students!$Z$62,Students!U86&gt;Students!$Y$63),Students!$AA$62*_xlfn.XLOOKUP(F86,Tickets!$B$4:$B$7,Tickets!$C$4:$C$7,,0),TRUE,0)</f>
        <v>0</v>
      </c>
      <c r="S86" s="48">
        <f t="shared" ca="1" si="9"/>
        <v>44720</v>
      </c>
      <c r="T86" s="45">
        <f t="shared" ca="1" si="10"/>
        <v>3.5833333333333335</v>
      </c>
      <c r="U86" s="52">
        <f t="shared" ca="1" si="11"/>
        <v>24</v>
      </c>
    </row>
    <row r="87" spans="1:21" x14ac:dyDescent="0.3">
      <c r="A87" s="17">
        <v>113120</v>
      </c>
      <c r="B87" s="18" t="s">
        <v>146</v>
      </c>
      <c r="C87" s="19" t="s">
        <v>179</v>
      </c>
      <c r="D87" s="13">
        <v>35800</v>
      </c>
      <c r="E87" s="12" t="s">
        <v>203</v>
      </c>
      <c r="F87" s="13" t="s">
        <v>202</v>
      </c>
      <c r="G87" s="13" t="s">
        <v>118</v>
      </c>
      <c r="H87" s="13">
        <v>43765</v>
      </c>
      <c r="I87" s="14">
        <v>0.91442437312476588</v>
      </c>
      <c r="J87" s="21">
        <v>0.9907919514778617</v>
      </c>
      <c r="K87" s="16">
        <v>246</v>
      </c>
      <c r="L87" s="20" t="str">
        <f t="shared" si="6"/>
        <v>גבע מיה</v>
      </c>
      <c r="M87" s="49">
        <f t="shared" ca="1" si="7"/>
        <v>44931</v>
      </c>
      <c r="N87" s="50" cm="1">
        <f t="array" ref="N87">_xlfn.XLOOKUP(F87,Tickets!$B$4:$B$7,_xlfn.XLOOKUP(Students!G87,Tickets!$C$3:$E$3,Tickets!$C$4:$E$7,,0),,0)</f>
        <v>70</v>
      </c>
      <c r="O87" s="51">
        <f t="shared" si="8"/>
        <v>7.6367578353095822E-2</v>
      </c>
      <c r="P87" s="20">
        <f>_xlfn.XLOOKUP($E87,Tickets!$E$12:$E$20,Tickets!C$12:C$20,,0)</f>
        <v>25.4</v>
      </c>
      <c r="Q87" s="51">
        <f>_xlfn.XLOOKUP($E87,Tickets!$E$12:$E$20,Tickets!D$12:D$20,,0)</f>
        <v>2.7083333333333334E-2</v>
      </c>
      <c r="R87" s="50" cm="1">
        <f t="array" aca="1" ref="R87" ca="1">_xlfn.IFS(AND(U87&lt;=$Y$61,T87&lt;=$Z$61),$AA$61*_xlfn.XLOOKUP(F87,Tickets!$B$4:$B$7,Tickets!$E$4:$E$7,,0),OR(Students!T87&lt;=Students!$Z$62,Students!U87&gt;Students!$Y$63),Students!$AA$62*_xlfn.XLOOKUP(F87,Tickets!$B$4:$B$7,Tickets!$C$4:$C$7,,0),TRUE,0)</f>
        <v>0</v>
      </c>
      <c r="S87" s="48">
        <f t="shared" ca="1" si="9"/>
        <v>44566</v>
      </c>
      <c r="T87" s="45">
        <f t="shared" ca="1" si="10"/>
        <v>2.5833333333333335</v>
      </c>
      <c r="U87" s="52">
        <f t="shared" ca="1" si="11"/>
        <v>24.416666666666668</v>
      </c>
    </row>
    <row r="88" spans="1:21" x14ac:dyDescent="0.3">
      <c r="A88" s="17">
        <v>807303</v>
      </c>
      <c r="B88" s="18" t="s">
        <v>55</v>
      </c>
      <c r="C88" s="19" t="s">
        <v>180</v>
      </c>
      <c r="D88" s="13">
        <v>34964</v>
      </c>
      <c r="E88" s="12" t="s">
        <v>203</v>
      </c>
      <c r="F88" s="13" t="s">
        <v>204</v>
      </c>
      <c r="G88" s="13" t="s">
        <v>118</v>
      </c>
      <c r="H88" s="13">
        <v>43765</v>
      </c>
      <c r="I88" s="14">
        <v>0.82896751699270932</v>
      </c>
      <c r="J88" s="21">
        <v>0.91946989591975936</v>
      </c>
      <c r="K88" s="16">
        <v>201</v>
      </c>
      <c r="L88" s="20" t="str">
        <f t="shared" si="6"/>
        <v>יוסף קובי</v>
      </c>
      <c r="M88" s="49">
        <f t="shared" ca="1" si="7"/>
        <v>44826</v>
      </c>
      <c r="N88" s="50" cm="1">
        <f t="array" ref="N88">_xlfn.XLOOKUP(F88,Tickets!$B$4:$B$7,_xlfn.XLOOKUP(Students!G88,Tickets!$C$3:$E$3,Tickets!$C$4:$E$7,,0),,0)</f>
        <v>90</v>
      </c>
      <c r="O88" s="51">
        <f t="shared" si="8"/>
        <v>9.0502378927050042E-2</v>
      </c>
      <c r="P88" s="20">
        <f>_xlfn.XLOOKUP($E88,Tickets!$E$12:$E$20,Tickets!C$12:C$20,,0)</f>
        <v>25.4</v>
      </c>
      <c r="Q88" s="51">
        <f>_xlfn.XLOOKUP($E88,Tickets!$E$12:$E$20,Tickets!D$12:D$20,,0)</f>
        <v>2.7083333333333334E-2</v>
      </c>
      <c r="R88" s="50" cm="1">
        <f t="array" aca="1" ref="R88" ca="1">_xlfn.IFS(AND(U88&lt;=$Y$61,T88&lt;=$Z$61),$AA$61*_xlfn.XLOOKUP(F88,Tickets!$B$4:$B$7,Tickets!$E$4:$E$7,,0),OR(Students!T88&lt;=Students!$Z$62,Students!U88&gt;Students!$Y$63),Students!$AA$62*_xlfn.XLOOKUP(F88,Tickets!$B$4:$B$7,Tickets!$C$4:$C$7,,0),TRUE,0)</f>
        <v>210</v>
      </c>
      <c r="S88" s="48">
        <f t="shared" ca="1" si="9"/>
        <v>44826</v>
      </c>
      <c r="T88" s="45">
        <f t="shared" ca="1" si="10"/>
        <v>2.5833333333333335</v>
      </c>
      <c r="U88" s="52">
        <f t="shared" ca="1" si="11"/>
        <v>26.666666666666668</v>
      </c>
    </row>
    <row r="89" spans="1:21" x14ac:dyDescent="0.3">
      <c r="A89" s="17">
        <v>433713</v>
      </c>
      <c r="B89" s="18" t="s">
        <v>147</v>
      </c>
      <c r="C89" s="19" t="s">
        <v>181</v>
      </c>
      <c r="D89" s="13">
        <v>34847</v>
      </c>
      <c r="E89" s="12" t="s">
        <v>211</v>
      </c>
      <c r="F89" s="13" t="s">
        <v>203</v>
      </c>
      <c r="G89" s="13" t="s">
        <v>118</v>
      </c>
      <c r="H89" s="13">
        <v>43765</v>
      </c>
      <c r="I89" s="14">
        <v>0.88522247181321001</v>
      </c>
      <c r="J89" s="21">
        <v>2.4735124533920683E-2</v>
      </c>
      <c r="K89" s="16">
        <v>334</v>
      </c>
      <c r="L89" s="20" t="str">
        <f t="shared" si="6"/>
        <v>קור אלי</v>
      </c>
      <c r="M89" s="49">
        <f t="shared" ca="1" si="7"/>
        <v>45074</v>
      </c>
      <c r="N89" s="50" cm="1">
        <f t="array" ref="N89">_xlfn.XLOOKUP(F89,Tickets!$B$4:$B$7,_xlfn.XLOOKUP(Students!G89,Tickets!$C$3:$E$3,Tickets!$C$4:$E$7,,0),,0)</f>
        <v>80</v>
      </c>
      <c r="O89" s="51">
        <f t="shared" si="8"/>
        <v>0.13951265272071067</v>
      </c>
      <c r="P89" s="20">
        <f>_xlfn.XLOOKUP($E89,Tickets!$E$12:$E$20,Tickets!C$12:C$20,,0)</f>
        <v>14.7</v>
      </c>
      <c r="Q89" s="51">
        <f>_xlfn.XLOOKUP($E89,Tickets!$E$12:$E$20,Tickets!D$12:D$20,,0)</f>
        <v>1.6666666666666666E-2</v>
      </c>
      <c r="R89" s="50" cm="1">
        <f t="array" aca="1" ref="R89" ca="1">_xlfn.IFS(AND(U89&lt;=$Y$61,T89&lt;=$Z$61),$AA$61*_xlfn.XLOOKUP(F89,Tickets!$B$4:$B$7,Tickets!$E$4:$E$7,,0),OR(Students!T89&lt;=Students!$Z$62,Students!U89&gt;Students!$Y$63),Students!$AA$62*_xlfn.XLOOKUP(F89,Tickets!$B$4:$B$7,Tickets!$C$4:$C$7,,0),TRUE,0)</f>
        <v>180</v>
      </c>
      <c r="S89" s="48">
        <f t="shared" ca="1" si="9"/>
        <v>44709</v>
      </c>
      <c r="T89" s="45">
        <f t="shared" ca="1" si="10"/>
        <v>2.5833333333333335</v>
      </c>
      <c r="U89" s="52">
        <f t="shared" ca="1" si="11"/>
        <v>27</v>
      </c>
    </row>
    <row r="90" spans="1:21" x14ac:dyDescent="0.3">
      <c r="A90" s="17">
        <v>985274</v>
      </c>
      <c r="B90" s="18" t="s">
        <v>148</v>
      </c>
      <c r="C90" s="19" t="s">
        <v>182</v>
      </c>
      <c r="D90" s="13">
        <v>34925</v>
      </c>
      <c r="E90" s="12" t="s">
        <v>208</v>
      </c>
      <c r="F90" s="13" t="s">
        <v>202</v>
      </c>
      <c r="G90" s="13" t="s">
        <v>118</v>
      </c>
      <c r="H90" s="13">
        <v>44479</v>
      </c>
      <c r="I90" s="14">
        <v>0.78747513254528889</v>
      </c>
      <c r="J90" s="21">
        <v>0.90351264448945345</v>
      </c>
      <c r="K90" s="16">
        <v>374</v>
      </c>
      <c r="L90" s="20" t="str">
        <f t="shared" si="6"/>
        <v>דין דני</v>
      </c>
      <c r="M90" s="49">
        <f t="shared" ca="1" si="7"/>
        <v>44787</v>
      </c>
      <c r="N90" s="50" cm="1">
        <f t="array" ref="N90">_xlfn.XLOOKUP(F90,Tickets!$B$4:$B$7,_xlfn.XLOOKUP(Students!G90,Tickets!$C$3:$E$3,Tickets!$C$4:$E$7,,0),,0)</f>
        <v>70</v>
      </c>
      <c r="O90" s="51">
        <f t="shared" si="8"/>
        <v>0.11603751194416456</v>
      </c>
      <c r="P90" s="20">
        <f>_xlfn.XLOOKUP($E90,Tickets!$E$12:$E$20,Tickets!C$12:C$20,,0)</f>
        <v>29.7</v>
      </c>
      <c r="Q90" s="51">
        <f>_xlfn.XLOOKUP($E90,Tickets!$E$12:$E$20,Tickets!D$12:D$20,,0)</f>
        <v>1.8749999999999999E-2</v>
      </c>
      <c r="R90" s="50" cm="1">
        <f t="array" aca="1" ref="R90" ca="1">_xlfn.IFS(AND(U90&lt;=$Y$61,T90&lt;=$Z$61),$AA$61*_xlfn.XLOOKUP(F90,Tickets!$B$4:$B$7,Tickets!$E$4:$E$7,,0),OR(Students!T90&lt;=Students!$Z$62,Students!U90&gt;Students!$Y$63),Students!$AA$62*_xlfn.XLOOKUP(F90,Tickets!$B$4:$B$7,Tickets!$C$4:$C$7,,0),TRUE,0)</f>
        <v>150</v>
      </c>
      <c r="S90" s="48">
        <f t="shared" ca="1" si="9"/>
        <v>44787</v>
      </c>
      <c r="T90" s="45">
        <f t="shared" ca="1" si="10"/>
        <v>0.66666666666666663</v>
      </c>
      <c r="U90" s="52">
        <f t="shared" ca="1" si="11"/>
        <v>26.75</v>
      </c>
    </row>
    <row r="91" spans="1:21" x14ac:dyDescent="0.3">
      <c r="A91" s="17">
        <v>405198</v>
      </c>
      <c r="B91" s="18" t="s">
        <v>149</v>
      </c>
      <c r="C91" s="19" t="s">
        <v>183</v>
      </c>
      <c r="D91" s="13">
        <v>35136</v>
      </c>
      <c r="E91" s="12" t="s">
        <v>211</v>
      </c>
      <c r="F91" s="13" t="s">
        <v>202</v>
      </c>
      <c r="G91" s="13" t="s">
        <v>119</v>
      </c>
      <c r="H91" s="13">
        <v>43765</v>
      </c>
      <c r="I91" s="14">
        <v>0.87220852102630286</v>
      </c>
      <c r="J91" s="21">
        <v>0.94248067673982983</v>
      </c>
      <c r="K91" s="16">
        <v>333</v>
      </c>
      <c r="L91" s="20" t="str">
        <f t="shared" si="6"/>
        <v>רוגל יפית</v>
      </c>
      <c r="M91" s="49">
        <f t="shared" ca="1" si="7"/>
        <v>44997</v>
      </c>
      <c r="N91" s="50" cm="1">
        <f t="array" ref="N91">_xlfn.XLOOKUP(F91,Tickets!$B$4:$B$7,_xlfn.XLOOKUP(Students!G91,Tickets!$C$3:$E$3,Tickets!$C$4:$E$7,,0),,0)</f>
        <v>120</v>
      </c>
      <c r="O91" s="51">
        <f t="shared" si="8"/>
        <v>7.0272155713526963E-2</v>
      </c>
      <c r="P91" s="20">
        <f>_xlfn.XLOOKUP($E91,Tickets!$E$12:$E$20,Tickets!C$12:C$20,,0)</f>
        <v>14.7</v>
      </c>
      <c r="Q91" s="51">
        <f>_xlfn.XLOOKUP($E91,Tickets!$E$12:$E$20,Tickets!D$12:D$20,,0)</f>
        <v>1.6666666666666666E-2</v>
      </c>
      <c r="R91" s="50" cm="1">
        <f t="array" aca="1" ref="R91" ca="1">_xlfn.IFS(AND(U91&lt;=$Y$61,T91&lt;=$Z$61),$AA$61*_xlfn.XLOOKUP(F91,Tickets!$B$4:$B$7,Tickets!$E$4:$E$7,,0),OR(Students!T91&lt;=Students!$Z$62,Students!U91&gt;Students!$Y$63),Students!$AA$62*_xlfn.XLOOKUP(F91,Tickets!$B$4:$B$7,Tickets!$C$4:$C$7,,0),TRUE,0)</f>
        <v>150</v>
      </c>
      <c r="S91" s="48">
        <f t="shared" ca="1" si="9"/>
        <v>44632</v>
      </c>
      <c r="T91" s="45">
        <f t="shared" ca="1" si="10"/>
        <v>2.5833333333333335</v>
      </c>
      <c r="U91" s="52">
        <f t="shared" ca="1" si="11"/>
        <v>26.25</v>
      </c>
    </row>
    <row r="92" spans="1:21" x14ac:dyDescent="0.3">
      <c r="A92" s="17">
        <v>612470</v>
      </c>
      <c r="B92" s="18" t="s">
        <v>150</v>
      </c>
      <c r="C92" s="19" t="s">
        <v>7</v>
      </c>
      <c r="D92" s="13">
        <v>34815</v>
      </c>
      <c r="E92" s="12" t="s">
        <v>203</v>
      </c>
      <c r="F92" s="13" t="s">
        <v>196</v>
      </c>
      <c r="G92" s="13" t="s">
        <v>117</v>
      </c>
      <c r="H92" s="13">
        <v>43765</v>
      </c>
      <c r="I92" s="14">
        <v>0.97985894760799286</v>
      </c>
      <c r="J92" s="21">
        <v>6.7614237301796054E-2</v>
      </c>
      <c r="K92" s="16">
        <v>200</v>
      </c>
      <c r="L92" s="20" t="str">
        <f t="shared" si="6"/>
        <v>לבייב לב</v>
      </c>
      <c r="M92" s="49">
        <f t="shared" ca="1" si="7"/>
        <v>45042</v>
      </c>
      <c r="N92" s="50" cm="1">
        <f t="array" ref="N92">_xlfn.XLOOKUP(F92,Tickets!$B$4:$B$7,_xlfn.XLOOKUP(Students!G92,Tickets!$C$3:$E$3,Tickets!$C$4:$E$7,,0),,0)</f>
        <v>40</v>
      </c>
      <c r="O92" s="51">
        <f t="shared" si="8"/>
        <v>8.7755289693803196E-2</v>
      </c>
      <c r="P92" s="20">
        <f>_xlfn.XLOOKUP($E92,Tickets!$E$12:$E$20,Tickets!C$12:C$20,,0)</f>
        <v>25.4</v>
      </c>
      <c r="Q92" s="51">
        <f>_xlfn.XLOOKUP($E92,Tickets!$E$12:$E$20,Tickets!D$12:D$20,,0)</f>
        <v>2.7083333333333334E-2</v>
      </c>
      <c r="R92" s="50" cm="1">
        <f t="array" aca="1" ref="R92" ca="1">_xlfn.IFS(AND(U92&lt;=$Y$61,T92&lt;=$Z$61),$AA$61*_xlfn.XLOOKUP(F92,Tickets!$B$4:$B$7,Tickets!$E$4:$E$7,,0),OR(Students!T92&lt;=Students!$Z$62,Students!U92&gt;Students!$Y$63),Students!$AA$62*_xlfn.XLOOKUP(F92,Tickets!$B$4:$B$7,Tickets!$C$4:$C$7,,0),TRUE,0)</f>
        <v>120</v>
      </c>
      <c r="S92" s="48">
        <f t="shared" ca="1" si="9"/>
        <v>44677</v>
      </c>
      <c r="T92" s="45">
        <f t="shared" ca="1" si="10"/>
        <v>2.5833333333333335</v>
      </c>
      <c r="U92" s="52">
        <f t="shared" ca="1" si="11"/>
        <v>27.083333333333332</v>
      </c>
    </row>
    <row r="93" spans="1:21" x14ac:dyDescent="0.3">
      <c r="A93" s="17">
        <v>928113</v>
      </c>
      <c r="B93" s="18" t="s">
        <v>65</v>
      </c>
      <c r="C93" s="19" t="s">
        <v>184</v>
      </c>
      <c r="D93" s="13">
        <v>35535</v>
      </c>
      <c r="E93" s="12" t="s">
        <v>207</v>
      </c>
      <c r="F93" s="13" t="s">
        <v>203</v>
      </c>
      <c r="G93" s="13" t="s">
        <v>118</v>
      </c>
      <c r="H93" s="13">
        <v>43387</v>
      </c>
      <c r="I93" s="14">
        <v>0.83028847964237129</v>
      </c>
      <c r="J93" s="21">
        <v>0.92453141155874974</v>
      </c>
      <c r="K93" s="16">
        <v>105</v>
      </c>
      <c r="L93" s="20" t="str">
        <f t="shared" si="6"/>
        <v>רז צבי</v>
      </c>
      <c r="M93" s="49">
        <f t="shared" ca="1" si="7"/>
        <v>45031</v>
      </c>
      <c r="N93" s="50" cm="1">
        <f t="array" ref="N93">_xlfn.XLOOKUP(F93,Tickets!$B$4:$B$7,_xlfn.XLOOKUP(Students!G93,Tickets!$C$3:$E$3,Tickets!$C$4:$E$7,,0),,0)</f>
        <v>80</v>
      </c>
      <c r="O93" s="51">
        <f t="shared" si="8"/>
        <v>9.4242931916378447E-2</v>
      </c>
      <c r="P93" s="20">
        <f>_xlfn.XLOOKUP($E93,Tickets!$E$12:$E$20,Tickets!C$12:C$20,,0)</f>
        <v>31.7</v>
      </c>
      <c r="Q93" s="51">
        <f>_xlfn.XLOOKUP($E93,Tickets!$E$12:$E$20,Tickets!D$12:D$20,,0)</f>
        <v>2.013888888888889E-2</v>
      </c>
      <c r="R93" s="50" cm="1">
        <f t="array" aca="1" ref="R93" ca="1">_xlfn.IFS(AND(U93&lt;=$Y$61,T93&lt;=$Z$61),$AA$61*_xlfn.XLOOKUP(F93,Tickets!$B$4:$B$7,Tickets!$E$4:$E$7,,0),OR(Students!T93&lt;=Students!$Z$62,Students!U93&gt;Students!$Y$63),Students!$AA$62*_xlfn.XLOOKUP(F93,Tickets!$B$4:$B$7,Tickets!$C$4:$C$7,,0),TRUE,0)</f>
        <v>180</v>
      </c>
      <c r="S93" s="48">
        <f t="shared" ca="1" si="9"/>
        <v>44666</v>
      </c>
      <c r="T93" s="45">
        <f t="shared" ca="1" si="10"/>
        <v>3.5833333333333335</v>
      </c>
      <c r="U93" s="52">
        <f t="shared" ca="1" si="11"/>
        <v>25.083333333333332</v>
      </c>
    </row>
    <row r="94" spans="1:21" x14ac:dyDescent="0.3">
      <c r="A94" s="17">
        <v>819349</v>
      </c>
      <c r="B94" s="18" t="s">
        <v>125</v>
      </c>
      <c r="C94" s="19" t="s">
        <v>185</v>
      </c>
      <c r="D94" s="13">
        <v>35024</v>
      </c>
      <c r="E94" s="12" t="s">
        <v>206</v>
      </c>
      <c r="F94" s="13" t="s">
        <v>203</v>
      </c>
      <c r="G94" s="13" t="s">
        <v>119</v>
      </c>
      <c r="H94" s="13">
        <v>44122</v>
      </c>
      <c r="I94" s="14">
        <v>0.81246569745847985</v>
      </c>
      <c r="J94" s="21">
        <v>0.89777243782282601</v>
      </c>
      <c r="K94" s="16">
        <v>471</v>
      </c>
      <c r="L94" s="20" t="str">
        <f t="shared" si="6"/>
        <v>בר ציפי</v>
      </c>
      <c r="M94" s="49">
        <f t="shared" ca="1" si="7"/>
        <v>44886</v>
      </c>
      <c r="N94" s="50" cm="1">
        <f t="array" ref="N94">_xlfn.XLOOKUP(F94,Tickets!$B$4:$B$7,_xlfn.XLOOKUP(Students!G94,Tickets!$C$3:$E$3,Tickets!$C$4:$E$7,,0),,0)</f>
        <v>110</v>
      </c>
      <c r="O94" s="51">
        <f t="shared" si="8"/>
        <v>8.5306740364346156E-2</v>
      </c>
      <c r="P94" s="20">
        <f>_xlfn.XLOOKUP($E94,Tickets!$E$12:$E$20,Tickets!C$12:C$20,,0)</f>
        <v>19.100000000000001</v>
      </c>
      <c r="Q94" s="51">
        <f>_xlfn.XLOOKUP($E94,Tickets!$E$12:$E$20,Tickets!D$12:D$20,,0)</f>
        <v>1.8055555555555557E-2</v>
      </c>
      <c r="R94" s="50" cm="1">
        <f t="array" aca="1" ref="R94" ca="1">_xlfn.IFS(AND(U94&lt;=$Y$61,T94&lt;=$Z$61),$AA$61*_xlfn.XLOOKUP(F94,Tickets!$B$4:$B$7,Tickets!$E$4:$E$7,,0),OR(Students!T94&lt;=Students!$Z$62,Students!U94&gt;Students!$Y$63),Students!$AA$62*_xlfn.XLOOKUP(F94,Tickets!$B$4:$B$7,Tickets!$C$4:$C$7,,0),TRUE,0)</f>
        <v>180</v>
      </c>
      <c r="S94" s="48">
        <f t="shared" ca="1" si="9"/>
        <v>44886</v>
      </c>
      <c r="T94" s="45">
        <f t="shared" ca="1" si="10"/>
        <v>1.5833333333333333</v>
      </c>
      <c r="U94" s="52">
        <f t="shared" ca="1" si="11"/>
        <v>26.5</v>
      </c>
    </row>
    <row r="95" spans="1:21" x14ac:dyDescent="0.3">
      <c r="A95" s="17">
        <v>551020</v>
      </c>
      <c r="B95" s="18" t="s">
        <v>151</v>
      </c>
      <c r="C95" s="19" t="s">
        <v>186</v>
      </c>
      <c r="D95" s="13">
        <v>36002</v>
      </c>
      <c r="E95" s="12" t="s">
        <v>208</v>
      </c>
      <c r="F95" s="13" t="s">
        <v>196</v>
      </c>
      <c r="G95" s="13" t="s">
        <v>118</v>
      </c>
      <c r="H95" s="13">
        <v>43765</v>
      </c>
      <c r="I95" s="14">
        <v>0.8454484909968476</v>
      </c>
      <c r="J95" s="21">
        <v>0.97094839123079391</v>
      </c>
      <c r="K95" s="16">
        <v>414</v>
      </c>
      <c r="L95" s="20" t="str">
        <f t="shared" si="6"/>
        <v>גיל רוני</v>
      </c>
      <c r="M95" s="49">
        <f t="shared" ca="1" si="7"/>
        <v>44768</v>
      </c>
      <c r="N95" s="50" cm="1">
        <f t="array" ref="N95">_xlfn.XLOOKUP(F95,Tickets!$B$4:$B$7,_xlfn.XLOOKUP(Students!G95,Tickets!$C$3:$E$3,Tickets!$C$4:$E$7,,0),,0)</f>
        <v>60</v>
      </c>
      <c r="O95" s="51">
        <f t="shared" si="8"/>
        <v>0.1254999002339463</v>
      </c>
      <c r="P95" s="20">
        <f>_xlfn.XLOOKUP($E95,Tickets!$E$12:$E$20,Tickets!C$12:C$20,,0)</f>
        <v>29.7</v>
      </c>
      <c r="Q95" s="51">
        <f>_xlfn.XLOOKUP($E95,Tickets!$E$12:$E$20,Tickets!D$12:D$20,,0)</f>
        <v>1.8749999999999999E-2</v>
      </c>
      <c r="R95" s="50" cm="1">
        <f t="array" aca="1" ref="R95" ca="1">_xlfn.IFS(AND(U95&lt;=$Y$61,T95&lt;=$Z$61),$AA$61*_xlfn.XLOOKUP(F95,Tickets!$B$4:$B$7,Tickets!$E$4:$E$7,,0),OR(Students!T95&lt;=Students!$Z$62,Students!U95&gt;Students!$Y$63),Students!$AA$62*_xlfn.XLOOKUP(F95,Tickets!$B$4:$B$7,Tickets!$C$4:$C$7,,0),TRUE,0)</f>
        <v>0</v>
      </c>
      <c r="S95" s="48">
        <f t="shared" ca="1" si="9"/>
        <v>44768</v>
      </c>
      <c r="T95" s="45">
        <f t="shared" ca="1" si="10"/>
        <v>2.5833333333333335</v>
      </c>
      <c r="U95" s="52">
        <f t="shared" ca="1" si="11"/>
        <v>23.833333333333332</v>
      </c>
    </row>
    <row r="96" spans="1:21" x14ac:dyDescent="0.3">
      <c r="A96" s="17">
        <v>470626</v>
      </c>
      <c r="B96" s="18" t="s">
        <v>11</v>
      </c>
      <c r="C96" s="19" t="s">
        <v>186</v>
      </c>
      <c r="D96" s="13">
        <v>35953</v>
      </c>
      <c r="E96" s="12" t="s">
        <v>211</v>
      </c>
      <c r="F96" s="13" t="s">
        <v>204</v>
      </c>
      <c r="G96" s="13" t="s">
        <v>119</v>
      </c>
      <c r="H96" s="13">
        <v>44479</v>
      </c>
      <c r="I96" s="14">
        <v>0.75251946095378597</v>
      </c>
      <c r="J96" s="21">
        <v>0.85163254843636527</v>
      </c>
      <c r="K96" s="16">
        <v>40</v>
      </c>
      <c r="L96" s="20" t="str">
        <f t="shared" si="6"/>
        <v>כהן רוני</v>
      </c>
      <c r="M96" s="49">
        <f t="shared" ca="1" si="7"/>
        <v>45084</v>
      </c>
      <c r="N96" s="50" cm="1">
        <f t="array" ref="N96">_xlfn.XLOOKUP(F96,Tickets!$B$4:$B$7,_xlfn.XLOOKUP(Students!G96,Tickets!$C$3:$E$3,Tickets!$C$4:$E$7,,0),,0)</f>
        <v>100</v>
      </c>
      <c r="O96" s="51">
        <f t="shared" si="8"/>
        <v>9.9113087482579298E-2</v>
      </c>
      <c r="P96" s="20">
        <f>_xlfn.XLOOKUP($E96,Tickets!$E$12:$E$20,Tickets!C$12:C$20,,0)</f>
        <v>14.7</v>
      </c>
      <c r="Q96" s="51">
        <f>_xlfn.XLOOKUP($E96,Tickets!$E$12:$E$20,Tickets!D$12:D$20,,0)</f>
        <v>1.6666666666666666E-2</v>
      </c>
      <c r="R96" s="50" cm="1">
        <f t="array" aca="1" ref="R96" ca="1">_xlfn.IFS(AND(U96&lt;=$Y$61,T96&lt;=$Z$61),$AA$61*_xlfn.XLOOKUP(F96,Tickets!$B$4:$B$7,Tickets!$E$4:$E$7,,0),OR(Students!T96&lt;=Students!$Z$62,Students!U96&gt;Students!$Y$63),Students!$AA$62*_xlfn.XLOOKUP(F96,Tickets!$B$4:$B$7,Tickets!$C$4:$C$7,,0),TRUE,0)</f>
        <v>200</v>
      </c>
      <c r="S96" s="48">
        <f t="shared" ca="1" si="9"/>
        <v>44719</v>
      </c>
      <c r="T96" s="45">
        <f t="shared" ca="1" si="10"/>
        <v>0.66666666666666663</v>
      </c>
      <c r="U96" s="52">
        <f t="shared" ca="1" si="11"/>
        <v>24</v>
      </c>
    </row>
    <row r="97" spans="1:21" x14ac:dyDescent="0.3">
      <c r="A97" s="17">
        <v>756286</v>
      </c>
      <c r="B97" s="18" t="s">
        <v>65</v>
      </c>
      <c r="C97" s="19" t="s">
        <v>187</v>
      </c>
      <c r="D97" s="13">
        <v>34813</v>
      </c>
      <c r="E97" s="12" t="s">
        <v>211</v>
      </c>
      <c r="F97" s="13" t="s">
        <v>202</v>
      </c>
      <c r="G97" s="13" t="s">
        <v>117</v>
      </c>
      <c r="H97" s="13">
        <v>44122</v>
      </c>
      <c r="I97" s="14">
        <v>0.76788671325504221</v>
      </c>
      <c r="J97" s="21">
        <v>0.86046672546419056</v>
      </c>
      <c r="K97" s="16">
        <v>257</v>
      </c>
      <c r="L97" s="20" t="str">
        <f t="shared" si="6"/>
        <v>רז שרי</v>
      </c>
      <c r="M97" s="49">
        <f t="shared" ca="1" si="7"/>
        <v>45040</v>
      </c>
      <c r="N97" s="50" cm="1">
        <f t="array" ref="N97">_xlfn.XLOOKUP(F97,Tickets!$B$4:$B$7,_xlfn.XLOOKUP(Students!G97,Tickets!$C$3:$E$3,Tickets!$C$4:$E$7,,0),,0)</f>
        <v>50</v>
      </c>
      <c r="O97" s="51">
        <f t="shared" si="8"/>
        <v>9.2580012209148355E-2</v>
      </c>
      <c r="P97" s="20">
        <f>_xlfn.XLOOKUP($E97,Tickets!$E$12:$E$20,Tickets!C$12:C$20,,0)</f>
        <v>14.7</v>
      </c>
      <c r="Q97" s="51">
        <f>_xlfn.XLOOKUP($E97,Tickets!$E$12:$E$20,Tickets!D$12:D$20,,0)</f>
        <v>1.6666666666666666E-2</v>
      </c>
      <c r="R97" s="50" cm="1">
        <f t="array" aca="1" ref="R97" ca="1">_xlfn.IFS(AND(U97&lt;=$Y$61,T97&lt;=$Z$61),$AA$61*_xlfn.XLOOKUP(F97,Tickets!$B$4:$B$7,Tickets!$E$4:$E$7,,0),OR(Students!T97&lt;=Students!$Z$62,Students!U97&gt;Students!$Y$63),Students!$AA$62*_xlfn.XLOOKUP(F97,Tickets!$B$4:$B$7,Tickets!$C$4:$C$7,,0),TRUE,0)</f>
        <v>150</v>
      </c>
      <c r="S97" s="48">
        <f t="shared" ca="1" si="9"/>
        <v>44675</v>
      </c>
      <c r="T97" s="45">
        <f t="shared" ca="1" si="10"/>
        <v>1.5833333333333333</v>
      </c>
      <c r="U97" s="52">
        <f t="shared" ca="1" si="11"/>
        <v>27.083333333333332</v>
      </c>
    </row>
    <row r="98" spans="1:21" x14ac:dyDescent="0.3">
      <c r="A98" s="17">
        <v>430282</v>
      </c>
      <c r="B98" s="18" t="s">
        <v>152</v>
      </c>
      <c r="C98" s="19" t="s">
        <v>172</v>
      </c>
      <c r="D98" s="13">
        <v>35986</v>
      </c>
      <c r="E98" s="12" t="s">
        <v>213</v>
      </c>
      <c r="F98" s="13" t="s">
        <v>202</v>
      </c>
      <c r="G98" s="13" t="s">
        <v>119</v>
      </c>
      <c r="H98" s="13">
        <v>43387</v>
      </c>
      <c r="I98" s="14">
        <v>0.84583723547309164</v>
      </c>
      <c r="J98" s="21">
        <v>0.97870211972396315</v>
      </c>
      <c r="K98" s="16">
        <v>400</v>
      </c>
      <c r="L98" s="20" t="str">
        <f t="shared" si="6"/>
        <v>אשד תמי</v>
      </c>
      <c r="M98" s="49">
        <f t="shared" ca="1" si="7"/>
        <v>44752</v>
      </c>
      <c r="N98" s="50" cm="1">
        <f t="array" ref="N98">_xlfn.XLOOKUP(F98,Tickets!$B$4:$B$7,_xlfn.XLOOKUP(Students!G98,Tickets!$C$3:$E$3,Tickets!$C$4:$E$7,,0),,0)</f>
        <v>120</v>
      </c>
      <c r="O98" s="51">
        <f t="shared" si="8"/>
        <v>0.13286488425087151</v>
      </c>
      <c r="P98" s="20">
        <f>_xlfn.XLOOKUP($E98,Tickets!$E$12:$E$20,Tickets!C$12:C$20,,0)</f>
        <v>16.8</v>
      </c>
      <c r="Q98" s="51">
        <f>_xlfn.XLOOKUP($E98,Tickets!$E$12:$E$20,Tickets!D$12:D$20,,0)</f>
        <v>1.5277777777777777E-2</v>
      </c>
      <c r="R98" s="50" cm="1">
        <f t="array" aca="1" ref="R98" ca="1">_xlfn.IFS(AND(U98&lt;=$Y$61,T98&lt;=$Z$61),$AA$61*_xlfn.XLOOKUP(F98,Tickets!$B$4:$B$7,Tickets!$E$4:$E$7,,0),OR(Students!T98&lt;=Students!$Z$62,Students!U98&gt;Students!$Y$63),Students!$AA$62*_xlfn.XLOOKUP(F98,Tickets!$B$4:$B$7,Tickets!$C$4:$C$7,,0),TRUE,0)</f>
        <v>0</v>
      </c>
      <c r="S98" s="48">
        <f t="shared" ca="1" si="9"/>
        <v>44752</v>
      </c>
      <c r="T98" s="45">
        <f t="shared" ca="1" si="10"/>
        <v>3.5833333333333335</v>
      </c>
      <c r="U98" s="52">
        <f t="shared" ca="1" si="11"/>
        <v>23.916666666666668</v>
      </c>
    </row>
    <row r="99" spans="1:21" x14ac:dyDescent="0.3">
      <c r="A99" s="17">
        <v>110181</v>
      </c>
      <c r="B99" s="18" t="s">
        <v>153</v>
      </c>
      <c r="C99" s="19" t="s">
        <v>188</v>
      </c>
      <c r="D99" s="13">
        <v>36456</v>
      </c>
      <c r="E99" s="12" t="s">
        <v>213</v>
      </c>
      <c r="F99" s="13" t="s">
        <v>204</v>
      </c>
      <c r="G99" s="13" t="s">
        <v>117</v>
      </c>
      <c r="H99" s="13">
        <v>43387</v>
      </c>
      <c r="I99" s="14">
        <v>0.78624162460299107</v>
      </c>
      <c r="J99" s="21">
        <v>0.86841124867116937</v>
      </c>
      <c r="K99" s="16">
        <v>301</v>
      </c>
      <c r="L99" s="20" t="str">
        <f t="shared" si="6"/>
        <v>כהנא דלית</v>
      </c>
      <c r="M99" s="49">
        <f t="shared" ca="1" si="7"/>
        <v>44857</v>
      </c>
      <c r="N99" s="50" cm="1">
        <f t="array" ref="N99">_xlfn.XLOOKUP(F99,Tickets!$B$4:$B$7,_xlfn.XLOOKUP(Students!G99,Tickets!$C$3:$E$3,Tickets!$C$4:$E$7,,0),,0)</f>
        <v>70</v>
      </c>
      <c r="O99" s="51">
        <f t="shared" si="8"/>
        <v>8.2169624068178293E-2</v>
      </c>
      <c r="P99" s="20">
        <f>_xlfn.XLOOKUP($E99,Tickets!$E$12:$E$20,Tickets!C$12:C$20,,0)</f>
        <v>16.8</v>
      </c>
      <c r="Q99" s="51">
        <f>_xlfn.XLOOKUP($E99,Tickets!$E$12:$E$20,Tickets!D$12:D$20,,0)</f>
        <v>1.5277777777777777E-2</v>
      </c>
      <c r="R99" s="50" cm="1">
        <f t="array" aca="1" ref="R99" ca="1">_xlfn.IFS(AND(U99&lt;=$Y$61,T99&lt;=$Z$61),$AA$61*_xlfn.XLOOKUP(F99,Tickets!$B$4:$B$7,Tickets!$E$4:$E$7,,0),OR(Students!T99&lt;=Students!$Z$62,Students!U99&gt;Students!$Y$63),Students!$AA$62*_xlfn.XLOOKUP(F99,Tickets!$B$4:$B$7,Tickets!$C$4:$C$7,,0),TRUE,0)</f>
        <v>0</v>
      </c>
      <c r="S99" s="48">
        <f t="shared" ca="1" si="9"/>
        <v>44857</v>
      </c>
      <c r="T99" s="45">
        <f t="shared" ca="1" si="10"/>
        <v>3.5833333333333335</v>
      </c>
      <c r="U99" s="52">
        <f t="shared" ca="1" si="11"/>
        <v>22.583333333333332</v>
      </c>
    </row>
    <row r="100" spans="1:21" x14ac:dyDescent="0.3">
      <c r="A100" s="17">
        <v>801036</v>
      </c>
      <c r="B100" s="18" t="s">
        <v>4</v>
      </c>
      <c r="C100" s="19" t="s">
        <v>102</v>
      </c>
      <c r="D100" s="13">
        <v>34781</v>
      </c>
      <c r="E100" s="12" t="s">
        <v>211</v>
      </c>
      <c r="F100" s="13" t="s">
        <v>196</v>
      </c>
      <c r="G100" s="13" t="s">
        <v>118</v>
      </c>
      <c r="H100" s="13">
        <v>43765</v>
      </c>
      <c r="I100" s="14">
        <v>0.90622720130839007</v>
      </c>
      <c r="J100" s="21">
        <v>3.0173056553827404E-2</v>
      </c>
      <c r="K100" s="16">
        <v>407</v>
      </c>
      <c r="L100" s="20" t="str">
        <f t="shared" si="6"/>
        <v>לוי דפנה</v>
      </c>
      <c r="M100" s="49">
        <f t="shared" ca="1" si="7"/>
        <v>45008</v>
      </c>
      <c r="N100" s="50" cm="1">
        <f t="array" ref="N100">_xlfn.XLOOKUP(F100,Tickets!$B$4:$B$7,_xlfn.XLOOKUP(Students!G100,Tickets!$C$3:$E$3,Tickets!$C$4:$E$7,,0),,0)</f>
        <v>60</v>
      </c>
      <c r="O100" s="51">
        <f t="shared" si="8"/>
        <v>0.12394585524543733</v>
      </c>
      <c r="P100" s="20">
        <f>_xlfn.XLOOKUP($E100,Tickets!$E$12:$E$20,Tickets!C$12:C$20,,0)</f>
        <v>14.7</v>
      </c>
      <c r="Q100" s="51">
        <f>_xlfn.XLOOKUP($E100,Tickets!$E$12:$E$20,Tickets!D$12:D$20,,0)</f>
        <v>1.6666666666666666E-2</v>
      </c>
      <c r="R100" s="50" cm="1">
        <f t="array" aca="1" ref="R100" ca="1">_xlfn.IFS(AND(U100&lt;=$Y$61,T100&lt;=$Z$61),$AA$61*_xlfn.XLOOKUP(F100,Tickets!$B$4:$B$7,Tickets!$E$4:$E$7,,0),OR(Students!T100&lt;=Students!$Z$62,Students!U100&gt;Students!$Y$63),Students!$AA$62*_xlfn.XLOOKUP(F100,Tickets!$B$4:$B$7,Tickets!$C$4:$C$7,,0),TRUE,0)</f>
        <v>120</v>
      </c>
      <c r="S100" s="48">
        <f t="shared" ca="1" si="9"/>
        <v>44643</v>
      </c>
      <c r="T100" s="45">
        <f t="shared" ca="1" si="10"/>
        <v>2.5833333333333335</v>
      </c>
      <c r="U100" s="52">
        <f t="shared" ca="1" si="11"/>
        <v>27.166666666666668</v>
      </c>
    </row>
    <row r="101" spans="1:21" x14ac:dyDescent="0.3">
      <c r="A101" s="17">
        <v>632856</v>
      </c>
      <c r="B101" s="18" t="s">
        <v>154</v>
      </c>
      <c r="C101" s="19" t="s">
        <v>132</v>
      </c>
      <c r="D101" s="13">
        <v>35526</v>
      </c>
      <c r="E101" s="12" t="s">
        <v>213</v>
      </c>
      <c r="F101" s="13" t="s">
        <v>204</v>
      </c>
      <c r="G101" s="13" t="s">
        <v>118</v>
      </c>
      <c r="H101" s="13">
        <v>43387</v>
      </c>
      <c r="I101" s="14">
        <v>0.76300161474740635</v>
      </c>
      <c r="J101" s="21">
        <v>0.88635783903369947</v>
      </c>
      <c r="K101" s="16">
        <v>89</v>
      </c>
      <c r="L101" s="20" t="str">
        <f t="shared" si="6"/>
        <v>רונית חן</v>
      </c>
      <c r="M101" s="49">
        <f t="shared" ca="1" si="7"/>
        <v>45022</v>
      </c>
      <c r="N101" s="50" cm="1">
        <f t="array" ref="N101">_xlfn.XLOOKUP(F101,Tickets!$B$4:$B$7,_xlfn.XLOOKUP(Students!G101,Tickets!$C$3:$E$3,Tickets!$C$4:$E$7,,0),,0)</f>
        <v>90</v>
      </c>
      <c r="O101" s="51">
        <f t="shared" si="8"/>
        <v>0.12335622428629311</v>
      </c>
      <c r="P101" s="20">
        <f>_xlfn.XLOOKUP($E101,Tickets!$E$12:$E$20,Tickets!C$12:C$20,,0)</f>
        <v>16.8</v>
      </c>
      <c r="Q101" s="51">
        <f>_xlfn.XLOOKUP($E101,Tickets!$E$12:$E$20,Tickets!D$12:D$20,,0)</f>
        <v>1.5277777777777777E-2</v>
      </c>
      <c r="R101" s="50" cm="1">
        <f t="array" aca="1" ref="R101" ca="1">_xlfn.IFS(AND(U101&lt;=$Y$61,T101&lt;=$Z$61),$AA$61*_xlfn.XLOOKUP(F101,Tickets!$B$4:$B$7,Tickets!$E$4:$E$7,,0),OR(Students!T101&lt;=Students!$Z$62,Students!U101&gt;Students!$Y$63),Students!$AA$62*_xlfn.XLOOKUP(F101,Tickets!$B$4:$B$7,Tickets!$C$4:$C$7,,0),TRUE,0)</f>
        <v>210</v>
      </c>
      <c r="S101" s="48">
        <f t="shared" ca="1" si="9"/>
        <v>44657</v>
      </c>
      <c r="T101" s="45">
        <f t="shared" ca="1" si="10"/>
        <v>3.5833333333333335</v>
      </c>
      <c r="U101" s="52">
        <f t="shared" ca="1" si="11"/>
        <v>25.166666666666668</v>
      </c>
    </row>
    <row r="102" spans="1:21" x14ac:dyDescent="0.3">
      <c r="A102" s="17">
        <v>804693</v>
      </c>
      <c r="B102" s="18" t="s">
        <v>30</v>
      </c>
      <c r="C102" s="19" t="s">
        <v>189</v>
      </c>
      <c r="D102" s="13">
        <v>36384</v>
      </c>
      <c r="E102" s="12" t="s">
        <v>213</v>
      </c>
      <c r="F102" s="13" t="s">
        <v>196</v>
      </c>
      <c r="G102" s="13" t="s">
        <v>117</v>
      </c>
      <c r="H102" s="13">
        <v>44479</v>
      </c>
      <c r="I102" s="14">
        <v>0.89673114491638417</v>
      </c>
      <c r="J102" s="21">
        <v>5.18449230066933E-2</v>
      </c>
      <c r="K102" s="16">
        <v>21</v>
      </c>
      <c r="L102" s="20" t="str">
        <f t="shared" si="6"/>
        <v>פז טלי</v>
      </c>
      <c r="M102" s="49">
        <f t="shared" ca="1" si="7"/>
        <v>44785</v>
      </c>
      <c r="N102" s="50" cm="1">
        <f t="array" ref="N102">_xlfn.XLOOKUP(F102,Tickets!$B$4:$B$7,_xlfn.XLOOKUP(Students!G102,Tickets!$C$3:$E$3,Tickets!$C$4:$E$7,,0),,0)</f>
        <v>40</v>
      </c>
      <c r="O102" s="51">
        <f t="shared" si="8"/>
        <v>0.15511377809030913</v>
      </c>
      <c r="P102" s="20">
        <f>_xlfn.XLOOKUP($E102,Tickets!$E$12:$E$20,Tickets!C$12:C$20,,0)</f>
        <v>16.8</v>
      </c>
      <c r="Q102" s="51">
        <f>_xlfn.XLOOKUP($E102,Tickets!$E$12:$E$20,Tickets!D$12:D$20,,0)</f>
        <v>1.5277777777777777E-2</v>
      </c>
      <c r="R102" s="50" cm="1">
        <f t="array" aca="1" ref="R102" ca="1">_xlfn.IFS(AND(U102&lt;=$Y$61,T102&lt;=$Z$61),$AA$61*_xlfn.XLOOKUP(F102,Tickets!$B$4:$B$7,Tickets!$E$4:$E$7,,0),OR(Students!T102&lt;=Students!$Z$62,Students!U102&gt;Students!$Y$63),Students!$AA$62*_xlfn.XLOOKUP(F102,Tickets!$B$4:$B$7,Tickets!$C$4:$C$7,,0),TRUE,0)</f>
        <v>260</v>
      </c>
      <c r="S102" s="48">
        <f t="shared" ca="1" si="9"/>
        <v>44785</v>
      </c>
      <c r="T102" s="45">
        <f t="shared" ca="1" si="10"/>
        <v>0.66666666666666663</v>
      </c>
      <c r="U102" s="52">
        <f t="shared" ca="1" si="11"/>
        <v>22.833333333333332</v>
      </c>
    </row>
    <row r="103" spans="1:21" x14ac:dyDescent="0.3">
      <c r="A103" s="17">
        <v>495038</v>
      </c>
      <c r="B103" s="18" t="s">
        <v>155</v>
      </c>
      <c r="C103" s="19" t="s">
        <v>190</v>
      </c>
      <c r="D103" s="13">
        <v>35392</v>
      </c>
      <c r="E103" s="12" t="s">
        <v>203</v>
      </c>
      <c r="F103" s="13" t="s">
        <v>203</v>
      </c>
      <c r="G103" s="13" t="s">
        <v>119</v>
      </c>
      <c r="H103" s="13">
        <v>43387</v>
      </c>
      <c r="I103" s="14">
        <v>0.82798247380195988</v>
      </c>
      <c r="J103" s="21">
        <v>0.95554920584272462</v>
      </c>
      <c r="K103" s="16">
        <v>271</v>
      </c>
      <c r="L103" s="20" t="str">
        <f t="shared" si="6"/>
        <v>אור יפה</v>
      </c>
      <c r="M103" s="49">
        <f t="shared" ca="1" si="7"/>
        <v>44888</v>
      </c>
      <c r="N103" s="50" cm="1">
        <f t="array" ref="N103">_xlfn.XLOOKUP(F103,Tickets!$B$4:$B$7,_xlfn.XLOOKUP(Students!G103,Tickets!$C$3:$E$3,Tickets!$C$4:$E$7,,0),,0)</f>
        <v>110</v>
      </c>
      <c r="O103" s="51">
        <f t="shared" si="8"/>
        <v>0.12756673204076474</v>
      </c>
      <c r="P103" s="20">
        <f>_xlfn.XLOOKUP($E103,Tickets!$E$12:$E$20,Tickets!C$12:C$20,,0)</f>
        <v>25.4</v>
      </c>
      <c r="Q103" s="51">
        <f>_xlfn.XLOOKUP($E103,Tickets!$E$12:$E$20,Tickets!D$12:D$20,,0)</f>
        <v>2.7083333333333334E-2</v>
      </c>
      <c r="R103" s="50" cm="1">
        <f t="array" aca="1" ref="R103" ca="1">_xlfn.IFS(AND(U103&lt;=$Y$61,T103&lt;=$Z$61),$AA$61*_xlfn.XLOOKUP(F103,Tickets!$B$4:$B$7,Tickets!$E$4:$E$7,,0),OR(Students!T103&lt;=Students!$Z$62,Students!U103&gt;Students!$Y$63),Students!$AA$62*_xlfn.XLOOKUP(F103,Tickets!$B$4:$B$7,Tickets!$C$4:$C$7,,0),TRUE,0)</f>
        <v>180</v>
      </c>
      <c r="S103" s="48">
        <f t="shared" ca="1" si="9"/>
        <v>44888</v>
      </c>
      <c r="T103" s="45">
        <f t="shared" ca="1" si="10"/>
        <v>3.5833333333333335</v>
      </c>
      <c r="U103" s="52">
        <f t="shared" ca="1" si="11"/>
        <v>25.5</v>
      </c>
    </row>
    <row r="104" spans="1:21" x14ac:dyDescent="0.3">
      <c r="A104" s="17">
        <v>241732</v>
      </c>
      <c r="B104" s="18" t="s">
        <v>11</v>
      </c>
      <c r="C104" s="19" t="s">
        <v>191</v>
      </c>
      <c r="D104" s="13">
        <v>35597</v>
      </c>
      <c r="E104" s="12" t="s">
        <v>206</v>
      </c>
      <c r="F104" s="13" t="s">
        <v>203</v>
      </c>
      <c r="G104" s="13" t="s">
        <v>117</v>
      </c>
      <c r="H104" s="13">
        <v>43765</v>
      </c>
      <c r="I104" s="14">
        <v>0.87925072793601422</v>
      </c>
      <c r="J104" s="21">
        <v>0.92268874283787117</v>
      </c>
      <c r="K104" s="16">
        <v>51</v>
      </c>
      <c r="L104" s="20" t="str">
        <f t="shared" si="6"/>
        <v>כהן יפתח</v>
      </c>
      <c r="M104" s="49">
        <f t="shared" ca="1" si="7"/>
        <v>44728</v>
      </c>
      <c r="N104" s="50" cm="1">
        <f t="array" ref="N104">_xlfn.XLOOKUP(F104,Tickets!$B$4:$B$7,_xlfn.XLOOKUP(Students!G104,Tickets!$C$3:$E$3,Tickets!$C$4:$E$7,,0),,0)</f>
        <v>60</v>
      </c>
      <c r="O104" s="51">
        <f t="shared" si="8"/>
        <v>4.3438014901856947E-2</v>
      </c>
      <c r="P104" s="20">
        <f>_xlfn.XLOOKUP($E104,Tickets!$E$12:$E$20,Tickets!C$12:C$20,,0)</f>
        <v>19.100000000000001</v>
      </c>
      <c r="Q104" s="51">
        <f>_xlfn.XLOOKUP($E104,Tickets!$E$12:$E$20,Tickets!D$12:D$20,,0)</f>
        <v>1.8055555555555557E-2</v>
      </c>
      <c r="R104" s="50" cm="1">
        <f t="array" aca="1" ref="R104" ca="1">_xlfn.IFS(AND(U104&lt;=$Y$61,T104&lt;=$Z$61),$AA$61*_xlfn.XLOOKUP(F104,Tickets!$B$4:$B$7,Tickets!$E$4:$E$7,,0),OR(Students!T104&lt;=Students!$Z$62,Students!U104&gt;Students!$Y$63),Students!$AA$62*_xlfn.XLOOKUP(F104,Tickets!$B$4:$B$7,Tickets!$C$4:$C$7,,0),TRUE,0)</f>
        <v>0</v>
      </c>
      <c r="S104" s="48">
        <f t="shared" ca="1" si="9"/>
        <v>44728</v>
      </c>
      <c r="T104" s="45">
        <f t="shared" ca="1" si="10"/>
        <v>2.5833333333333335</v>
      </c>
      <c r="U104" s="52">
        <f t="shared" ca="1" si="11"/>
        <v>24.916666666666668</v>
      </c>
    </row>
    <row r="105" spans="1:21" x14ac:dyDescent="0.3">
      <c r="A105" s="17">
        <v>992945</v>
      </c>
      <c r="B105" s="18" t="s">
        <v>156</v>
      </c>
      <c r="C105" s="19" t="s">
        <v>192</v>
      </c>
      <c r="D105" s="13">
        <v>36687</v>
      </c>
      <c r="E105" s="12" t="s">
        <v>210</v>
      </c>
      <c r="F105" s="13" t="s">
        <v>202</v>
      </c>
      <c r="G105" s="13" t="s">
        <v>117</v>
      </c>
      <c r="H105" s="13">
        <v>43765</v>
      </c>
      <c r="I105" s="14">
        <v>0.98519632714192706</v>
      </c>
      <c r="J105" s="21">
        <v>6.9929079794312177E-2</v>
      </c>
      <c r="K105" s="16">
        <v>485</v>
      </c>
      <c r="L105" s="20" t="str">
        <f t="shared" si="6"/>
        <v>רונן רון</v>
      </c>
      <c r="M105" s="49">
        <f t="shared" ca="1" si="7"/>
        <v>45087</v>
      </c>
      <c r="N105" s="50" cm="1">
        <f t="array" ref="N105">_xlfn.XLOOKUP(F105,Tickets!$B$4:$B$7,_xlfn.XLOOKUP(Students!G105,Tickets!$C$3:$E$3,Tickets!$C$4:$E$7,,0),,0)</f>
        <v>50</v>
      </c>
      <c r="O105" s="51">
        <f t="shared" si="8"/>
        <v>8.4732752652385113E-2</v>
      </c>
      <c r="P105" s="20">
        <f>_xlfn.XLOOKUP($E105,Tickets!$E$12:$E$20,Tickets!C$12:C$20,,0)</f>
        <v>19.899999999999999</v>
      </c>
      <c r="Q105" s="51">
        <f>_xlfn.XLOOKUP($E105,Tickets!$E$12:$E$20,Tickets!D$12:D$20,,0)</f>
        <v>1.9444444444444445E-2</v>
      </c>
      <c r="R105" s="50" cm="1">
        <f t="array" aca="1" ref="R105" ca="1">_xlfn.IFS(AND(U105&lt;=$Y$61,T105&lt;=$Z$61),$AA$61*_xlfn.XLOOKUP(F105,Tickets!$B$4:$B$7,Tickets!$E$4:$E$7,,0),OR(Students!T105&lt;=Students!$Z$62,Students!U105&gt;Students!$Y$63),Students!$AA$62*_xlfn.XLOOKUP(F105,Tickets!$B$4:$B$7,Tickets!$C$4:$C$7,,0),TRUE,0)</f>
        <v>0</v>
      </c>
      <c r="S105" s="48">
        <f t="shared" ca="1" si="9"/>
        <v>44722</v>
      </c>
      <c r="T105" s="45">
        <f t="shared" ca="1" si="10"/>
        <v>2.5833333333333335</v>
      </c>
      <c r="U105" s="52">
        <f t="shared" ca="1" si="11"/>
        <v>22</v>
      </c>
    </row>
    <row r="106" spans="1:21" x14ac:dyDescent="0.3">
      <c r="A106" s="17">
        <v>747202</v>
      </c>
      <c r="B106" s="18" t="s">
        <v>157</v>
      </c>
      <c r="C106" s="19" t="s">
        <v>193</v>
      </c>
      <c r="D106" s="13">
        <v>36260</v>
      </c>
      <c r="E106" s="12" t="s">
        <v>203</v>
      </c>
      <c r="F106" s="13" t="s">
        <v>203</v>
      </c>
      <c r="G106" s="13" t="s">
        <v>117</v>
      </c>
      <c r="H106" s="13">
        <v>43765</v>
      </c>
      <c r="I106" s="14">
        <v>0.83997795505753525</v>
      </c>
      <c r="J106" s="21">
        <v>0.93387149074588161</v>
      </c>
      <c r="K106" s="16">
        <v>376</v>
      </c>
      <c r="L106" s="20" t="str">
        <f t="shared" si="6"/>
        <v>אשל ריקי</v>
      </c>
      <c r="M106" s="49">
        <f t="shared" ca="1" si="7"/>
        <v>45026</v>
      </c>
      <c r="N106" s="50" cm="1">
        <f t="array" ref="N106">_xlfn.XLOOKUP(F106,Tickets!$B$4:$B$7,_xlfn.XLOOKUP(Students!G106,Tickets!$C$3:$E$3,Tickets!$C$4:$E$7,,0),,0)</f>
        <v>60</v>
      </c>
      <c r="O106" s="51">
        <f t="shared" si="8"/>
        <v>9.3893535688346352E-2</v>
      </c>
      <c r="P106" s="20">
        <f>_xlfn.XLOOKUP($E106,Tickets!$E$12:$E$20,Tickets!C$12:C$20,,0)</f>
        <v>25.4</v>
      </c>
      <c r="Q106" s="51">
        <f>_xlfn.XLOOKUP($E106,Tickets!$E$12:$E$20,Tickets!D$12:D$20,,0)</f>
        <v>2.7083333333333334E-2</v>
      </c>
      <c r="R106" s="50" cm="1">
        <f t="array" aca="1" ref="R106" ca="1">_xlfn.IFS(AND(U106&lt;=$Y$61,T106&lt;=$Z$61),$AA$61*_xlfn.XLOOKUP(F106,Tickets!$B$4:$B$7,Tickets!$E$4:$E$7,,0),OR(Students!T106&lt;=Students!$Z$62,Students!U106&gt;Students!$Y$63),Students!$AA$62*_xlfn.XLOOKUP(F106,Tickets!$B$4:$B$7,Tickets!$C$4:$C$7,,0),TRUE,0)</f>
        <v>0</v>
      </c>
      <c r="S106" s="48">
        <f t="shared" ca="1" si="9"/>
        <v>44661</v>
      </c>
      <c r="T106" s="45">
        <f t="shared" ca="1" si="10"/>
        <v>2.5833333333333335</v>
      </c>
      <c r="U106" s="52">
        <f t="shared" ca="1" si="11"/>
        <v>23.166666666666668</v>
      </c>
    </row>
    <row r="107" spans="1:21" x14ac:dyDescent="0.3">
      <c r="A107" s="17">
        <v>535327</v>
      </c>
      <c r="B107" s="18" t="s">
        <v>158</v>
      </c>
      <c r="C107" s="19" t="s">
        <v>194</v>
      </c>
      <c r="D107" s="13">
        <v>35454</v>
      </c>
      <c r="E107" s="12" t="s">
        <v>210</v>
      </c>
      <c r="F107" s="13" t="s">
        <v>202</v>
      </c>
      <c r="G107" s="13" t="s">
        <v>119</v>
      </c>
      <c r="H107" s="13">
        <v>43765</v>
      </c>
      <c r="I107" s="14">
        <v>0.97902407689655879</v>
      </c>
      <c r="J107" s="21">
        <v>2.4373485598221389E-2</v>
      </c>
      <c r="K107" s="16">
        <v>166</v>
      </c>
      <c r="L107" s="20" t="str">
        <f t="shared" si="6"/>
        <v>שקד שדה</v>
      </c>
      <c r="M107" s="49">
        <f t="shared" ca="1" si="7"/>
        <v>44950</v>
      </c>
      <c r="N107" s="50" cm="1">
        <f t="array" ref="N107">_xlfn.XLOOKUP(F107,Tickets!$B$4:$B$7,_xlfn.XLOOKUP(Students!G107,Tickets!$C$3:$E$3,Tickets!$C$4:$E$7,,0),,0)</f>
        <v>120</v>
      </c>
      <c r="O107" s="51">
        <f t="shared" si="8"/>
        <v>4.5349408701662597E-2</v>
      </c>
      <c r="P107" s="20">
        <f>_xlfn.XLOOKUP($E107,Tickets!$E$12:$E$20,Tickets!C$12:C$20,,0)</f>
        <v>19.899999999999999</v>
      </c>
      <c r="Q107" s="51">
        <f>_xlfn.XLOOKUP($E107,Tickets!$E$12:$E$20,Tickets!D$12:D$20,,0)</f>
        <v>1.9444444444444445E-2</v>
      </c>
      <c r="R107" s="50" cm="1">
        <f t="array" aca="1" ref="R107" ca="1">_xlfn.IFS(AND(U107&lt;=$Y$61,T107&lt;=$Z$61),$AA$61*_xlfn.XLOOKUP(F107,Tickets!$B$4:$B$7,Tickets!$E$4:$E$7,,0),OR(Students!T107&lt;=Students!$Z$62,Students!U107&gt;Students!$Y$63),Students!$AA$62*_xlfn.XLOOKUP(F107,Tickets!$B$4:$B$7,Tickets!$C$4:$C$7,,0),TRUE,0)</f>
        <v>150</v>
      </c>
      <c r="S107" s="48">
        <f t="shared" ca="1" si="9"/>
        <v>44585</v>
      </c>
      <c r="T107" s="45">
        <f t="shared" ca="1" si="10"/>
        <v>2.5833333333333335</v>
      </c>
      <c r="U107" s="52">
        <f t="shared" ca="1" si="11"/>
        <v>25.333333333333332</v>
      </c>
    </row>
    <row r="108" spans="1:21" x14ac:dyDescent="0.3">
      <c r="A108" s="17">
        <v>137451</v>
      </c>
      <c r="B108" s="18" t="s">
        <v>159</v>
      </c>
      <c r="C108" s="19" t="s">
        <v>109</v>
      </c>
      <c r="D108" s="13">
        <v>36699</v>
      </c>
      <c r="E108" s="12" t="s">
        <v>210</v>
      </c>
      <c r="F108" s="13" t="s">
        <v>203</v>
      </c>
      <c r="G108" s="13" t="s">
        <v>119</v>
      </c>
      <c r="H108" s="13">
        <v>43387</v>
      </c>
      <c r="I108" s="14">
        <v>0.91605333945878731</v>
      </c>
      <c r="J108" s="21">
        <v>3.9230484268211407E-2</v>
      </c>
      <c r="K108" s="16">
        <v>490</v>
      </c>
      <c r="L108" s="20" t="str">
        <f t="shared" si="6"/>
        <v>ניר שרה</v>
      </c>
      <c r="M108" s="49">
        <f t="shared" ca="1" si="7"/>
        <v>44734</v>
      </c>
      <c r="N108" s="50" cm="1">
        <f t="array" ref="N108">_xlfn.XLOOKUP(F108,Tickets!$B$4:$B$7,_xlfn.XLOOKUP(Students!G108,Tickets!$C$3:$E$3,Tickets!$C$4:$E$7,,0),,0)</f>
        <v>110</v>
      </c>
      <c r="O108" s="51">
        <f t="shared" si="8"/>
        <v>0.1231771448094241</v>
      </c>
      <c r="P108" s="20">
        <f>_xlfn.XLOOKUP($E108,Tickets!$E$12:$E$20,Tickets!C$12:C$20,,0)</f>
        <v>19.899999999999999</v>
      </c>
      <c r="Q108" s="51">
        <f>_xlfn.XLOOKUP($E108,Tickets!$E$12:$E$20,Tickets!D$12:D$20,,0)</f>
        <v>1.9444444444444445E-2</v>
      </c>
      <c r="R108" s="50" cm="1">
        <f t="array" aca="1" ref="R108" ca="1">_xlfn.IFS(AND(U108&lt;=$Y$61,T108&lt;=$Z$61),$AA$61*_xlfn.XLOOKUP(F108,Tickets!$B$4:$B$7,Tickets!$E$4:$E$7,,0),OR(Students!T108&lt;=Students!$Z$62,Students!U108&gt;Students!$Y$63),Students!$AA$62*_xlfn.XLOOKUP(F108,Tickets!$B$4:$B$7,Tickets!$C$4:$C$7,,0),TRUE,0)</f>
        <v>0</v>
      </c>
      <c r="S108" s="48">
        <f t="shared" ca="1" si="9"/>
        <v>44734</v>
      </c>
      <c r="T108" s="45">
        <f t="shared" ca="1" si="10"/>
        <v>3.5833333333333335</v>
      </c>
      <c r="U108" s="52">
        <f t="shared" ca="1" si="11"/>
        <v>21.916666666666668</v>
      </c>
    </row>
    <row r="109" spans="1:21" x14ac:dyDescent="0.3">
      <c r="A109" s="17">
        <v>320536</v>
      </c>
      <c r="B109" s="18" t="s">
        <v>160</v>
      </c>
      <c r="C109" s="19" t="s">
        <v>78</v>
      </c>
      <c r="D109" s="13">
        <v>35012</v>
      </c>
      <c r="E109" s="12" t="s">
        <v>213</v>
      </c>
      <c r="F109" s="13" t="s">
        <v>204</v>
      </c>
      <c r="G109" s="13" t="s">
        <v>118</v>
      </c>
      <c r="H109" s="13">
        <v>44479</v>
      </c>
      <c r="I109" s="14">
        <v>0.97503028094791055</v>
      </c>
      <c r="J109" s="21">
        <v>4.9259140700765647E-2</v>
      </c>
      <c r="K109" s="16">
        <v>470</v>
      </c>
      <c r="L109" s="20" t="str">
        <f t="shared" si="6"/>
        <v>שומרון אוהד</v>
      </c>
      <c r="M109" s="49">
        <f t="shared" ca="1" si="7"/>
        <v>44874</v>
      </c>
      <c r="N109" s="50" cm="1">
        <f t="array" ref="N109">_xlfn.XLOOKUP(F109,Tickets!$B$4:$B$7,_xlfn.XLOOKUP(Students!G109,Tickets!$C$3:$E$3,Tickets!$C$4:$E$7,,0),,0)</f>
        <v>90</v>
      </c>
      <c r="O109" s="51">
        <f t="shared" si="8"/>
        <v>7.4228859752855092E-2</v>
      </c>
      <c r="P109" s="20">
        <f>_xlfn.XLOOKUP($E109,Tickets!$E$12:$E$20,Tickets!C$12:C$20,,0)</f>
        <v>16.8</v>
      </c>
      <c r="Q109" s="51">
        <f>_xlfn.XLOOKUP($E109,Tickets!$E$12:$E$20,Tickets!D$12:D$20,,0)</f>
        <v>1.5277777777777777E-2</v>
      </c>
      <c r="R109" s="50" cm="1">
        <f t="array" aca="1" ref="R109" ca="1">_xlfn.IFS(AND(U109&lt;=$Y$61,T109&lt;=$Z$61),$AA$61*_xlfn.XLOOKUP(F109,Tickets!$B$4:$B$7,Tickets!$E$4:$E$7,,0),OR(Students!T109&lt;=Students!$Z$62,Students!U109&gt;Students!$Y$63),Students!$AA$62*_xlfn.XLOOKUP(F109,Tickets!$B$4:$B$7,Tickets!$C$4:$C$7,,0),TRUE,0)</f>
        <v>210</v>
      </c>
      <c r="S109" s="48">
        <f t="shared" ca="1" si="9"/>
        <v>44874</v>
      </c>
      <c r="T109" s="45">
        <f t="shared" ca="1" si="10"/>
        <v>0.66666666666666663</v>
      </c>
      <c r="U109" s="52">
        <f t="shared" ca="1" si="11"/>
        <v>26.583333333333332</v>
      </c>
    </row>
    <row r="110" spans="1:21" x14ac:dyDescent="0.3">
      <c r="A110" s="17">
        <v>147682</v>
      </c>
      <c r="B110" s="18" t="s">
        <v>161</v>
      </c>
      <c r="C110" s="19" t="s">
        <v>195</v>
      </c>
      <c r="D110" s="13">
        <v>35027</v>
      </c>
      <c r="E110" s="12" t="s">
        <v>207</v>
      </c>
      <c r="F110" s="13" t="s">
        <v>203</v>
      </c>
      <c r="G110" s="13" t="s">
        <v>118</v>
      </c>
      <c r="H110" s="13">
        <v>44479</v>
      </c>
      <c r="I110" s="14">
        <v>0.97236332614069809</v>
      </c>
      <c r="J110" s="21">
        <v>6.3702842370258139E-2</v>
      </c>
      <c r="K110" s="16">
        <v>317</v>
      </c>
      <c r="L110" s="20" t="str">
        <f t="shared" si="6"/>
        <v>המר גדי</v>
      </c>
      <c r="M110" s="49">
        <f t="shared" ca="1" si="7"/>
        <v>44889</v>
      </c>
      <c r="N110" s="50" cm="1">
        <f t="array" ref="N110">_xlfn.XLOOKUP(F110,Tickets!$B$4:$B$7,_xlfn.XLOOKUP(Students!G110,Tickets!$C$3:$E$3,Tickets!$C$4:$E$7,,0),,0)</f>
        <v>80</v>
      </c>
      <c r="O110" s="51">
        <f t="shared" si="8"/>
        <v>9.1339516229560047E-2</v>
      </c>
      <c r="P110" s="20">
        <f>_xlfn.XLOOKUP($E110,Tickets!$E$12:$E$20,Tickets!C$12:C$20,,0)</f>
        <v>31.7</v>
      </c>
      <c r="Q110" s="51">
        <f>_xlfn.XLOOKUP($E110,Tickets!$E$12:$E$20,Tickets!D$12:D$20,,0)</f>
        <v>2.013888888888889E-2</v>
      </c>
      <c r="R110" s="50" cm="1">
        <f t="array" aca="1" ref="R110" ca="1">_xlfn.IFS(AND(U110&lt;=$Y$61,T110&lt;=$Z$61),$AA$61*_xlfn.XLOOKUP(F110,Tickets!$B$4:$B$7,Tickets!$E$4:$E$7,,0),OR(Students!T110&lt;=Students!$Z$62,Students!U110&gt;Students!$Y$63),Students!$AA$62*_xlfn.XLOOKUP(F110,Tickets!$B$4:$B$7,Tickets!$C$4:$C$7,,0),TRUE,0)</f>
        <v>180</v>
      </c>
      <c r="S110" s="48">
        <f t="shared" ca="1" si="9"/>
        <v>44889</v>
      </c>
      <c r="T110" s="45">
        <f t="shared" ca="1" si="10"/>
        <v>0.66666666666666663</v>
      </c>
      <c r="U110" s="52">
        <f t="shared" ca="1" si="11"/>
        <v>26.5</v>
      </c>
    </row>
    <row r="111" spans="1:21" x14ac:dyDescent="0.3">
      <c r="A111" s="17">
        <v>139093</v>
      </c>
      <c r="B111" s="18" t="s">
        <v>162</v>
      </c>
      <c r="C111" s="19" t="s">
        <v>66</v>
      </c>
      <c r="D111" s="13">
        <v>35964</v>
      </c>
      <c r="E111" s="12" t="s">
        <v>210</v>
      </c>
      <c r="F111" s="13" t="s">
        <v>196</v>
      </c>
      <c r="G111" s="13" t="s">
        <v>119</v>
      </c>
      <c r="H111" s="13">
        <v>44479</v>
      </c>
      <c r="I111" s="14">
        <v>0.77515603784192844</v>
      </c>
      <c r="J111" s="21">
        <v>0.8944189982973102</v>
      </c>
      <c r="K111" s="16">
        <v>311</v>
      </c>
      <c r="L111" s="20" t="str">
        <f t="shared" si="6"/>
        <v>המלאה רחל</v>
      </c>
      <c r="M111" s="49">
        <f t="shared" ca="1" si="7"/>
        <v>44730</v>
      </c>
      <c r="N111" s="50" cm="1">
        <f t="array" ref="N111">_xlfn.XLOOKUP(F111,Tickets!$B$4:$B$7,_xlfn.XLOOKUP(Students!G111,Tickets!$C$3:$E$3,Tickets!$C$4:$E$7,,0),,0)</f>
        <v>130</v>
      </c>
      <c r="O111" s="51">
        <f t="shared" si="8"/>
        <v>0.11926296045538176</v>
      </c>
      <c r="P111" s="20">
        <f>_xlfn.XLOOKUP($E111,Tickets!$E$12:$E$20,Tickets!C$12:C$20,,0)</f>
        <v>19.899999999999999</v>
      </c>
      <c r="Q111" s="51">
        <f>_xlfn.XLOOKUP($E111,Tickets!$E$12:$E$20,Tickets!D$12:D$20,,0)</f>
        <v>1.9444444444444445E-2</v>
      </c>
      <c r="R111" s="50" cm="1">
        <f t="array" aca="1" ref="R111" ca="1">_xlfn.IFS(AND(U111&lt;=$Y$61,T111&lt;=$Z$61),$AA$61*_xlfn.XLOOKUP(F111,Tickets!$B$4:$B$7,Tickets!$E$4:$E$7,,0),OR(Students!T111&lt;=Students!$Z$62,Students!U111&gt;Students!$Y$63),Students!$AA$62*_xlfn.XLOOKUP(F111,Tickets!$B$4:$B$7,Tickets!$C$4:$C$7,,0),TRUE,0)</f>
        <v>260</v>
      </c>
      <c r="S111" s="48">
        <f t="shared" ca="1" si="9"/>
        <v>44730</v>
      </c>
      <c r="T111" s="45">
        <f t="shared" ca="1" si="10"/>
        <v>0.66666666666666663</v>
      </c>
      <c r="U111" s="52">
        <f t="shared" ca="1" si="11"/>
        <v>23.916666666666668</v>
      </c>
    </row>
  </sheetData>
  <sortState xmlns:xlrd2="http://schemas.microsoft.com/office/spreadsheetml/2017/richdata2" ref="A3:I61">
    <sortCondition ref="A8:A61"/>
  </sortState>
  <conditionalFormatting sqref="K3:K111 F3:G111">
    <cfRule type="expression" dxfId="0" priority="1">
      <formula>AND($K3&gt;$X$37,$I3&gt;$Y$37,$J3&gt;$Z$37)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298C5-A975-49BD-9F1E-BA2381387D7A}">
  <sheetPr codeName="Sheet2"/>
  <dimension ref="A1:E20"/>
  <sheetViews>
    <sheetView rightToLeft="1" workbookViewId="0">
      <selection activeCell="D17" sqref="D17"/>
    </sheetView>
  </sheetViews>
  <sheetFormatPr defaultRowHeight="14.4" x14ac:dyDescent="0.3"/>
  <cols>
    <col min="1" max="1" width="9.88671875" customWidth="1"/>
    <col min="2" max="2" width="10.109375" customWidth="1"/>
    <col min="3" max="3" width="10.88671875" bestFit="1" customWidth="1"/>
    <col min="4" max="4" width="12.5546875" bestFit="1" customWidth="1"/>
    <col min="5" max="5" width="11.33203125" customWidth="1"/>
    <col min="6" max="6" width="12.109375" customWidth="1"/>
    <col min="7" max="7" width="12.5546875" bestFit="1" customWidth="1"/>
    <col min="8" max="8" width="10.5546875" bestFit="1" customWidth="1"/>
    <col min="11" max="11" width="12.109375" bestFit="1" customWidth="1"/>
    <col min="12" max="12" width="11.109375" bestFit="1" customWidth="1"/>
  </cols>
  <sheetData>
    <row r="1" spans="1:5" x14ac:dyDescent="0.3">
      <c r="A1" s="41" t="s">
        <v>237</v>
      </c>
      <c r="B1" s="41">
        <f>ID_NUM</f>
        <v>313116295</v>
      </c>
    </row>
    <row r="3" spans="1:5" x14ac:dyDescent="0.3">
      <c r="B3" s="27" t="s">
        <v>121</v>
      </c>
      <c r="C3" s="24" t="s">
        <v>117</v>
      </c>
      <c r="D3" s="24" t="s">
        <v>118</v>
      </c>
      <c r="E3" s="24" t="s">
        <v>119</v>
      </c>
    </row>
    <row r="4" spans="1:5" x14ac:dyDescent="0.3">
      <c r="B4" s="24" t="s">
        <v>202</v>
      </c>
      <c r="C4" s="23">
        <v>50</v>
      </c>
      <c r="D4" s="23">
        <v>70</v>
      </c>
      <c r="E4" s="23">
        <v>120</v>
      </c>
    </row>
    <row r="5" spans="1:5" x14ac:dyDescent="0.3">
      <c r="B5" s="24" t="s">
        <v>203</v>
      </c>
      <c r="C5" s="23">
        <v>60</v>
      </c>
      <c r="D5" s="23">
        <v>80</v>
      </c>
      <c r="E5" s="23">
        <v>110</v>
      </c>
    </row>
    <row r="6" spans="1:5" x14ac:dyDescent="0.3">
      <c r="B6" s="24" t="s">
        <v>196</v>
      </c>
      <c r="C6" s="23">
        <v>40</v>
      </c>
      <c r="D6" s="23">
        <v>60</v>
      </c>
      <c r="E6" s="23">
        <v>130</v>
      </c>
    </row>
    <row r="7" spans="1:5" x14ac:dyDescent="0.3">
      <c r="B7" s="24" t="s">
        <v>204</v>
      </c>
      <c r="C7" s="23">
        <v>70</v>
      </c>
      <c r="D7" s="23">
        <v>90</v>
      </c>
      <c r="E7" s="23">
        <v>100</v>
      </c>
    </row>
    <row r="10" spans="1:5" x14ac:dyDescent="0.3">
      <c r="B10" s="27" t="s">
        <v>127</v>
      </c>
    </row>
    <row r="11" spans="1:5" x14ac:dyDescent="0.3">
      <c r="B11" s="25" t="s">
        <v>215</v>
      </c>
      <c r="C11" s="25" t="s">
        <v>225</v>
      </c>
      <c r="D11" s="25" t="s">
        <v>226</v>
      </c>
      <c r="E11" s="25" t="s">
        <v>214</v>
      </c>
    </row>
    <row r="12" spans="1:5" ht="15.6" x14ac:dyDescent="0.3">
      <c r="B12" s="26" t="s">
        <v>216</v>
      </c>
      <c r="C12" s="26">
        <v>19.100000000000001</v>
      </c>
      <c r="D12" s="28">
        <v>1.8055555555555557E-2</v>
      </c>
      <c r="E12" s="26" t="s">
        <v>206</v>
      </c>
    </row>
    <row r="13" spans="1:5" ht="15.6" x14ac:dyDescent="0.3">
      <c r="B13" s="26" t="s">
        <v>217</v>
      </c>
      <c r="C13" s="26">
        <v>31.7</v>
      </c>
      <c r="D13" s="28">
        <v>2.013888888888889E-2</v>
      </c>
      <c r="E13" s="26" t="s">
        <v>207</v>
      </c>
    </row>
    <row r="14" spans="1:5" ht="15.6" x14ac:dyDescent="0.3">
      <c r="B14" s="26" t="s">
        <v>218</v>
      </c>
      <c r="C14" s="26">
        <v>29.7</v>
      </c>
      <c r="D14" s="28">
        <v>1.8749999999999999E-2</v>
      </c>
      <c r="E14" s="26" t="s">
        <v>208</v>
      </c>
    </row>
    <row r="15" spans="1:5" ht="15.6" x14ac:dyDescent="0.3">
      <c r="B15" s="26" t="s">
        <v>219</v>
      </c>
      <c r="C15" s="26">
        <v>25.4</v>
      </c>
      <c r="D15" s="28">
        <v>2.7083333333333334E-2</v>
      </c>
      <c r="E15" s="26" t="s">
        <v>203</v>
      </c>
    </row>
    <row r="16" spans="1:5" ht="15.6" x14ac:dyDescent="0.3">
      <c r="B16" s="26" t="s">
        <v>220</v>
      </c>
      <c r="C16" s="26">
        <v>3.3</v>
      </c>
      <c r="D16" s="28">
        <v>5.5555555555555558E-3</v>
      </c>
      <c r="E16" s="26" t="s">
        <v>209</v>
      </c>
    </row>
    <row r="17" spans="2:5" ht="15.6" x14ac:dyDescent="0.3">
      <c r="B17" s="26" t="s">
        <v>221</v>
      </c>
      <c r="C17" s="26">
        <v>19.899999999999999</v>
      </c>
      <c r="D17" s="28">
        <v>1.9444444444444445E-2</v>
      </c>
      <c r="E17" s="26" t="s">
        <v>210</v>
      </c>
    </row>
    <row r="18" spans="2:5" ht="15.6" x14ac:dyDescent="0.3">
      <c r="B18" s="26" t="s">
        <v>222</v>
      </c>
      <c r="C18" s="26">
        <v>14.7</v>
      </c>
      <c r="D18" s="28">
        <v>1.6666666666666666E-2</v>
      </c>
      <c r="E18" s="26" t="s">
        <v>211</v>
      </c>
    </row>
    <row r="19" spans="2:5" ht="15.6" x14ac:dyDescent="0.3">
      <c r="B19" s="26" t="s">
        <v>223</v>
      </c>
      <c r="C19" s="26">
        <v>45.5</v>
      </c>
      <c r="D19" s="28">
        <v>3.125E-2</v>
      </c>
      <c r="E19" s="26" t="s">
        <v>212</v>
      </c>
    </row>
    <row r="20" spans="2:5" ht="15.6" x14ac:dyDescent="0.3">
      <c r="B20" s="26" t="s">
        <v>224</v>
      </c>
      <c r="C20" s="26">
        <v>16.8</v>
      </c>
      <c r="D20" s="28">
        <v>1.5277777777777777E-2</v>
      </c>
      <c r="E20" s="26" t="s">
        <v>213</v>
      </c>
    </row>
  </sheetData>
  <pageMargins left="0.7" right="0.7" top="0.75" bottom="0.75" header="0.3" footer="0.3"/>
  <ignoredErrors>
    <ignoredError sqref="B12:B20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F930E-FA32-4D76-8229-AE3F596CF687}">
  <sheetPr codeName="Sheet3"/>
  <dimension ref="A1:V34"/>
  <sheetViews>
    <sheetView rightToLeft="1" workbookViewId="0">
      <selection activeCell="H15" activeCellId="2" sqref="Q15:Q34 L15:L34 H15:H34"/>
    </sheetView>
  </sheetViews>
  <sheetFormatPr defaultRowHeight="14.4" x14ac:dyDescent="0.3"/>
  <cols>
    <col min="8" max="8" width="10.5546875" bestFit="1" customWidth="1"/>
    <col min="12" max="12" width="10.5546875" bestFit="1" customWidth="1"/>
    <col min="17" max="17" width="10.5546875" bestFit="1" customWidth="1"/>
  </cols>
  <sheetData>
    <row r="1" spans="1:22" x14ac:dyDescent="0.3">
      <c r="A1" s="41" t="s">
        <v>237</v>
      </c>
      <c r="B1" s="41">
        <f>ID_NUM</f>
        <v>313116295</v>
      </c>
    </row>
    <row r="10" spans="1:22" ht="31.2" x14ac:dyDescent="0.3">
      <c r="J10" s="9" t="s">
        <v>3</v>
      </c>
      <c r="K10" s="9" t="s">
        <v>116</v>
      </c>
    </row>
    <row r="11" spans="1:22" ht="15.6" x14ac:dyDescent="0.3">
      <c r="J11" s="13" t="s">
        <v>203</v>
      </c>
      <c r="K11" s="13" t="s">
        <v>119</v>
      </c>
    </row>
    <row r="12" spans="1:22" ht="15.6" x14ac:dyDescent="0.3">
      <c r="J12" s="13" t="s">
        <v>196</v>
      </c>
      <c r="K12" s="13" t="s">
        <v>117</v>
      </c>
    </row>
    <row r="14" spans="1:22" ht="46.8" x14ac:dyDescent="0.3">
      <c r="E14" s="9" t="s">
        <v>0</v>
      </c>
      <c r="F14" s="9" t="s">
        <v>1</v>
      </c>
      <c r="G14" s="9" t="s">
        <v>2</v>
      </c>
      <c r="H14" s="9" t="s">
        <v>114</v>
      </c>
      <c r="I14" s="9" t="s">
        <v>115</v>
      </c>
      <c r="J14" s="9" t="s">
        <v>3</v>
      </c>
      <c r="K14" s="9" t="s">
        <v>116</v>
      </c>
      <c r="L14" s="9" t="s">
        <v>120</v>
      </c>
      <c r="M14" s="9" t="s">
        <v>199</v>
      </c>
      <c r="N14" s="9" t="s">
        <v>200</v>
      </c>
      <c r="O14" s="9" t="s">
        <v>227</v>
      </c>
      <c r="P14" s="22" t="s">
        <v>197</v>
      </c>
      <c r="Q14" s="22" t="s">
        <v>198</v>
      </c>
      <c r="R14" s="22" t="s">
        <v>205</v>
      </c>
      <c r="S14" s="22" t="s">
        <v>201</v>
      </c>
      <c r="T14" s="22" t="s">
        <v>225</v>
      </c>
      <c r="U14" s="22" t="s">
        <v>226</v>
      </c>
      <c r="V14" s="22" t="s">
        <v>228</v>
      </c>
    </row>
    <row r="15" spans="1:22" x14ac:dyDescent="0.3">
      <c r="E15" cm="1">
        <f t="array" aca="1" ref="E15:V34" ca="1">_xlfn._xlws.SORT(_xlfn._xlws.FILTER(סטודנטים,(Students!F3:F111=Filter!J11)*(Students!G3:G111=Filter!K11)+(Students!F3:F111=Filter!J12)*(Students!G3:G111=Filter!K12),""),2,1)</f>
        <v>495038</v>
      </c>
      <c r="F15" t="str">
        <f ca="1"/>
        <v>אור</v>
      </c>
      <c r="G15" t="str">
        <f ca="1"/>
        <v>יפה</v>
      </c>
      <c r="H15" s="56">
        <f ca="1"/>
        <v>35392</v>
      </c>
      <c r="I15" t="str">
        <f ca="1"/>
        <v>נתניה</v>
      </c>
      <c r="J15" t="str">
        <f ca="1"/>
        <v>נתניה</v>
      </c>
      <c r="K15" t="str">
        <f ca="1"/>
        <v>פרימיום</v>
      </c>
      <c r="L15" s="56">
        <f ca="1"/>
        <v>43387</v>
      </c>
      <c r="M15" s="53">
        <f ca="1"/>
        <v>0.82798247380195988</v>
      </c>
      <c r="N15" s="53">
        <f ca="1"/>
        <v>0.95554920584272462</v>
      </c>
      <c r="O15" s="55">
        <f ca="1"/>
        <v>271</v>
      </c>
      <c r="P15" t="str">
        <f ca="1"/>
        <v>אור יפה</v>
      </c>
      <c r="Q15" s="56">
        <f ca="1"/>
        <v>44888</v>
      </c>
      <c r="R15" s="55">
        <f ca="1"/>
        <v>110</v>
      </c>
      <c r="S15" s="53">
        <f ca="1"/>
        <v>0.12756673204076474</v>
      </c>
      <c r="T15">
        <f ca="1"/>
        <v>25.4</v>
      </c>
      <c r="U15" s="53">
        <f ca="1"/>
        <v>2.7083333333333334E-2</v>
      </c>
      <c r="V15" s="55">
        <f ca="1"/>
        <v>180</v>
      </c>
    </row>
    <row r="16" spans="1:22" x14ac:dyDescent="0.3">
      <c r="E16">
        <f ca="1"/>
        <v>359777</v>
      </c>
      <c r="F16" t="str">
        <f ca="1"/>
        <v>בן</v>
      </c>
      <c r="G16" t="str">
        <f ca="1"/>
        <v>זהבה</v>
      </c>
      <c r="H16" s="56">
        <f ca="1"/>
        <v>36707</v>
      </c>
      <c r="I16" t="str">
        <f ca="1"/>
        <v>הרצליה</v>
      </c>
      <c r="J16" t="str">
        <f ca="1"/>
        <v>נתניה</v>
      </c>
      <c r="K16" t="str">
        <f ca="1"/>
        <v>פרימיום</v>
      </c>
      <c r="L16" s="56">
        <f ca="1"/>
        <v>43387</v>
      </c>
      <c r="M16" s="53">
        <f ca="1"/>
        <v>0.7679484348668959</v>
      </c>
      <c r="N16" s="53">
        <f ca="1"/>
        <v>0.85062571905575757</v>
      </c>
      <c r="O16" s="55">
        <f ca="1"/>
        <v>79</v>
      </c>
      <c r="P16" t="str">
        <f ca="1"/>
        <v>בן זהבה</v>
      </c>
      <c r="Q16" s="56">
        <f ca="1"/>
        <v>44742</v>
      </c>
      <c r="R16" s="55">
        <f ca="1"/>
        <v>110</v>
      </c>
      <c r="S16" s="53">
        <f ca="1"/>
        <v>8.2677284188861666E-2</v>
      </c>
      <c r="T16">
        <f ca="1"/>
        <v>45.5</v>
      </c>
      <c r="U16" s="53">
        <f ca="1"/>
        <v>3.125E-2</v>
      </c>
      <c r="V16" s="55">
        <f ca="1"/>
        <v>0</v>
      </c>
    </row>
    <row r="17" spans="5:22" x14ac:dyDescent="0.3">
      <c r="E17">
        <f ca="1"/>
        <v>819349</v>
      </c>
      <c r="F17" t="str">
        <f ca="1"/>
        <v>בר</v>
      </c>
      <c r="G17" t="str">
        <f ca="1"/>
        <v>ציפי</v>
      </c>
      <c r="H17" s="56">
        <f ca="1"/>
        <v>35024</v>
      </c>
      <c r="I17" t="str">
        <f ca="1"/>
        <v>בית הלוי</v>
      </c>
      <c r="J17" t="str">
        <f ca="1"/>
        <v>נתניה</v>
      </c>
      <c r="K17" t="str">
        <f ca="1"/>
        <v>פרימיום</v>
      </c>
      <c r="L17" s="56">
        <f ca="1"/>
        <v>44122</v>
      </c>
      <c r="M17" s="53">
        <f ca="1"/>
        <v>0.81246569745847985</v>
      </c>
      <c r="N17" s="53">
        <f ca="1"/>
        <v>0.89777243782282601</v>
      </c>
      <c r="O17" s="55">
        <f ca="1"/>
        <v>471</v>
      </c>
      <c r="P17" t="str">
        <f ca="1"/>
        <v>בר ציפי</v>
      </c>
      <c r="Q17" s="56">
        <f ca="1"/>
        <v>44886</v>
      </c>
      <c r="R17" s="55">
        <f ca="1"/>
        <v>110</v>
      </c>
      <c r="S17" s="53">
        <f ca="1"/>
        <v>8.5306740364346156E-2</v>
      </c>
      <c r="T17">
        <f ca="1"/>
        <v>19.100000000000001</v>
      </c>
      <c r="U17" s="53">
        <f ca="1"/>
        <v>1.8055555555555557E-2</v>
      </c>
      <c r="V17" s="55">
        <f ca="1"/>
        <v>180</v>
      </c>
    </row>
    <row r="18" spans="5:22" x14ac:dyDescent="0.3">
      <c r="E18">
        <f ca="1"/>
        <v>374359</v>
      </c>
      <c r="F18" t="str">
        <f ca="1"/>
        <v>ברכה</v>
      </c>
      <c r="G18" t="str">
        <f ca="1"/>
        <v>איתן</v>
      </c>
      <c r="H18" s="56">
        <f ca="1"/>
        <v>36351</v>
      </c>
      <c r="I18" t="str">
        <f ca="1"/>
        <v>בית הלוי</v>
      </c>
      <c r="J18" t="str">
        <f ca="1"/>
        <v>רופין</v>
      </c>
      <c r="K18" t="str">
        <f ca="1"/>
        <v>רגיל</v>
      </c>
      <c r="L18" s="56">
        <f ca="1"/>
        <v>43387</v>
      </c>
      <c r="M18" s="53">
        <f ca="1"/>
        <v>0.9114330656940719</v>
      </c>
      <c r="N18" s="53">
        <f ca="1"/>
        <v>0.98583598741102541</v>
      </c>
      <c r="O18" s="55">
        <f ca="1"/>
        <v>452</v>
      </c>
      <c r="P18" t="str">
        <f ca="1"/>
        <v>ברכה איתן</v>
      </c>
      <c r="Q18" s="56">
        <f ca="1"/>
        <v>44752</v>
      </c>
      <c r="R18" s="55">
        <f ca="1"/>
        <v>40</v>
      </c>
      <c r="S18" s="53">
        <f ca="1"/>
        <v>7.4402921716953507E-2</v>
      </c>
      <c r="T18">
        <f ca="1"/>
        <v>19.100000000000001</v>
      </c>
      <c r="U18" s="53">
        <f ca="1"/>
        <v>1.8055555555555557E-2</v>
      </c>
      <c r="V18" s="55">
        <f ca="1"/>
        <v>0</v>
      </c>
    </row>
    <row r="19" spans="5:22" x14ac:dyDescent="0.3">
      <c r="E19">
        <f ca="1"/>
        <v>912436</v>
      </c>
      <c r="F19" t="str">
        <f ca="1"/>
        <v>דוידוביץ</v>
      </c>
      <c r="G19" t="str">
        <f ca="1"/>
        <v>רותי</v>
      </c>
      <c r="H19" s="56">
        <f ca="1"/>
        <v>35244</v>
      </c>
      <c r="I19" t="str">
        <f ca="1"/>
        <v>חדרה</v>
      </c>
      <c r="J19" t="str">
        <f ca="1"/>
        <v>רופין</v>
      </c>
      <c r="K19" t="str">
        <f ca="1"/>
        <v>רגיל</v>
      </c>
      <c r="L19" s="56">
        <f ca="1"/>
        <v>43387</v>
      </c>
      <c r="M19" s="53">
        <f ca="1"/>
        <v>0.86346831628826082</v>
      </c>
      <c r="N19" s="53">
        <f ca="1"/>
        <v>0.96539080036979186</v>
      </c>
      <c r="O19" s="55">
        <f ca="1"/>
        <v>184</v>
      </c>
      <c r="P19" t="str">
        <f ca="1"/>
        <v>דוידוביץ רותי</v>
      </c>
      <c r="Q19" s="56">
        <f ca="1"/>
        <v>44740</v>
      </c>
      <c r="R19" s="55">
        <f ca="1"/>
        <v>40</v>
      </c>
      <c r="S19" s="53">
        <f ca="1"/>
        <v>0.10192248408153104</v>
      </c>
      <c r="T19">
        <f ca="1"/>
        <v>3.3</v>
      </c>
      <c r="U19" s="53">
        <f ca="1"/>
        <v>5.5555555555555558E-3</v>
      </c>
      <c r="V19" s="55">
        <f ca="1"/>
        <v>120</v>
      </c>
    </row>
    <row r="20" spans="5:22" x14ac:dyDescent="0.3">
      <c r="E20">
        <f ca="1"/>
        <v>660341</v>
      </c>
      <c r="F20" t="str">
        <f ca="1"/>
        <v>הכהן</v>
      </c>
      <c r="G20" t="str">
        <f ca="1"/>
        <v>יורם</v>
      </c>
      <c r="H20" s="56">
        <f ca="1"/>
        <v>36063</v>
      </c>
      <c r="I20" t="str">
        <f ca="1"/>
        <v>בארותיים</v>
      </c>
      <c r="J20" t="str">
        <f ca="1"/>
        <v>רופין</v>
      </c>
      <c r="K20" t="str">
        <f ca="1"/>
        <v>רגיל</v>
      </c>
      <c r="L20" s="56">
        <f ca="1"/>
        <v>43765</v>
      </c>
      <c r="M20" s="53">
        <f ca="1"/>
        <v>0.78212679469344848</v>
      </c>
      <c r="N20" s="53">
        <f ca="1"/>
        <v>0.86174301135346565</v>
      </c>
      <c r="O20" s="55">
        <f ca="1"/>
        <v>196</v>
      </c>
      <c r="P20" t="str">
        <f ca="1"/>
        <v>הכהן יורם</v>
      </c>
      <c r="Q20" s="56">
        <f ca="1"/>
        <v>44829</v>
      </c>
      <c r="R20" s="55">
        <f ca="1"/>
        <v>40</v>
      </c>
      <c r="S20" s="53">
        <f ca="1"/>
        <v>7.9616216660017169E-2</v>
      </c>
      <c r="T20">
        <f ca="1"/>
        <v>29.7</v>
      </c>
      <c r="U20" s="53">
        <f ca="1"/>
        <v>1.8749999999999999E-2</v>
      </c>
      <c r="V20" s="55">
        <f ca="1"/>
        <v>0</v>
      </c>
    </row>
    <row r="21" spans="5:22" x14ac:dyDescent="0.3">
      <c r="E21">
        <f ca="1"/>
        <v>523319</v>
      </c>
      <c r="F21" t="str">
        <f ca="1"/>
        <v>הרמן</v>
      </c>
      <c r="G21" t="str">
        <f ca="1"/>
        <v>עידו</v>
      </c>
      <c r="H21" s="56">
        <f ca="1"/>
        <v>36455</v>
      </c>
      <c r="I21" t="str">
        <f ca="1"/>
        <v>נתניה</v>
      </c>
      <c r="J21" t="str">
        <f ca="1"/>
        <v>רופין</v>
      </c>
      <c r="K21" t="str">
        <f ca="1"/>
        <v>רגיל</v>
      </c>
      <c r="L21" s="56">
        <f ca="1"/>
        <v>43765</v>
      </c>
      <c r="M21" s="53">
        <f ca="1"/>
        <v>0.84923371137424009</v>
      </c>
      <c r="N21" s="53">
        <f ca="1"/>
        <v>8.0839841149979996E-3</v>
      </c>
      <c r="O21" s="55">
        <f ca="1"/>
        <v>39</v>
      </c>
      <c r="P21" t="str">
        <f ca="1"/>
        <v>הרמן עידו</v>
      </c>
      <c r="Q21" s="56">
        <f ca="1"/>
        <v>44856</v>
      </c>
      <c r="R21" s="55">
        <f ca="1"/>
        <v>40</v>
      </c>
      <c r="S21" s="53">
        <f ca="1"/>
        <v>0.15885027274075791</v>
      </c>
      <c r="T21">
        <f ca="1"/>
        <v>25.4</v>
      </c>
      <c r="U21" s="53">
        <f ca="1"/>
        <v>2.7083333333333334E-2</v>
      </c>
      <c r="V21" s="55">
        <f ca="1"/>
        <v>0</v>
      </c>
    </row>
    <row r="22" spans="5:22" x14ac:dyDescent="0.3">
      <c r="E22">
        <f ca="1"/>
        <v>340163</v>
      </c>
      <c r="F22" t="str">
        <f ca="1"/>
        <v>כהן</v>
      </c>
      <c r="G22" t="str">
        <f ca="1"/>
        <v>תמר</v>
      </c>
      <c r="H22" s="56">
        <f ca="1"/>
        <v>36475</v>
      </c>
      <c r="I22" t="str">
        <f ca="1"/>
        <v>חניאל</v>
      </c>
      <c r="J22" t="str">
        <f ca="1"/>
        <v>נתניה</v>
      </c>
      <c r="K22" t="str">
        <f ca="1"/>
        <v>פרימיום</v>
      </c>
      <c r="L22" s="56">
        <f ca="1"/>
        <v>44122</v>
      </c>
      <c r="M22" s="53">
        <f ca="1"/>
        <v>0.88841035822855252</v>
      </c>
      <c r="N22" s="53">
        <f ca="1"/>
        <v>4.9066019910841918E-2</v>
      </c>
      <c r="O22" s="55">
        <f ca="1"/>
        <v>252</v>
      </c>
      <c r="P22" t="str">
        <f ca="1"/>
        <v>כהן תמר</v>
      </c>
      <c r="Q22" s="56">
        <f ca="1"/>
        <v>44876</v>
      </c>
      <c r="R22" s="55">
        <f ca="1"/>
        <v>110</v>
      </c>
      <c r="S22" s="53">
        <f ca="1"/>
        <v>0.1606556616822894</v>
      </c>
      <c r="T22">
        <f ca="1"/>
        <v>19.899999999999999</v>
      </c>
      <c r="U22" s="53">
        <f ca="1"/>
        <v>1.9444444444444445E-2</v>
      </c>
      <c r="V22" s="55">
        <f ca="1"/>
        <v>180</v>
      </c>
    </row>
    <row r="23" spans="5:22" x14ac:dyDescent="0.3">
      <c r="E23">
        <f ca="1"/>
        <v>783292</v>
      </c>
      <c r="F23" t="str">
        <f ca="1"/>
        <v>כהן</v>
      </c>
      <c r="G23" t="str">
        <f ca="1"/>
        <v>עוזי</v>
      </c>
      <c r="H23" s="56">
        <f ca="1"/>
        <v>36008</v>
      </c>
      <c r="I23" t="str">
        <f ca="1"/>
        <v>הרצליה</v>
      </c>
      <c r="J23" t="str">
        <f ca="1"/>
        <v>רופין</v>
      </c>
      <c r="K23" t="str">
        <f ca="1"/>
        <v>רגיל</v>
      </c>
      <c r="L23" s="56">
        <f ca="1"/>
        <v>43387</v>
      </c>
      <c r="M23" s="53">
        <f ca="1"/>
        <v>0.89349406126801645</v>
      </c>
      <c r="N23" s="53">
        <f ca="1"/>
        <v>2.3111566084377921E-2</v>
      </c>
      <c r="O23" s="55">
        <f ca="1"/>
        <v>263</v>
      </c>
      <c r="P23" t="str">
        <f ca="1"/>
        <v>כהן עוזי</v>
      </c>
      <c r="Q23" s="56">
        <f ca="1"/>
        <v>44774</v>
      </c>
      <c r="R23" s="55">
        <f ca="1"/>
        <v>40</v>
      </c>
      <c r="S23" s="53">
        <f ca="1"/>
        <v>0.12961750481636147</v>
      </c>
      <c r="T23">
        <f ca="1"/>
        <v>45.5</v>
      </c>
      <c r="U23" s="53">
        <f ca="1"/>
        <v>3.125E-2</v>
      </c>
      <c r="V23" s="55">
        <f ca="1"/>
        <v>0</v>
      </c>
    </row>
    <row r="24" spans="5:22" x14ac:dyDescent="0.3">
      <c r="E24">
        <f ca="1"/>
        <v>826578</v>
      </c>
      <c r="F24" t="str">
        <f ca="1"/>
        <v>כהן</v>
      </c>
      <c r="G24" t="str">
        <f ca="1"/>
        <v>לאה</v>
      </c>
      <c r="H24" s="56">
        <f ca="1"/>
        <v>35954</v>
      </c>
      <c r="I24" t="str">
        <f ca="1"/>
        <v>בורגתא</v>
      </c>
      <c r="J24" t="str">
        <f ca="1"/>
        <v>רופין</v>
      </c>
      <c r="K24" t="str">
        <f ca="1"/>
        <v>רגיל</v>
      </c>
      <c r="L24" s="56">
        <f ca="1"/>
        <v>43387</v>
      </c>
      <c r="M24" s="53">
        <f ca="1"/>
        <v>0.75456269303455126</v>
      </c>
      <c r="N24" s="53">
        <f ca="1"/>
        <v>0.83185816113557032</v>
      </c>
      <c r="O24" s="55">
        <f ca="1"/>
        <v>409</v>
      </c>
      <c r="P24" t="str">
        <f ca="1"/>
        <v>כהן לאה</v>
      </c>
      <c r="Q24" s="56">
        <f ca="1"/>
        <v>45085</v>
      </c>
      <c r="R24" s="55">
        <f ca="1"/>
        <v>40</v>
      </c>
      <c r="S24" s="53">
        <f ca="1"/>
        <v>7.729546810101906E-2</v>
      </c>
      <c r="T24">
        <f ca="1"/>
        <v>31.7</v>
      </c>
      <c r="U24" s="53">
        <f ca="1"/>
        <v>2.013888888888889E-2</v>
      </c>
      <c r="V24" s="55">
        <f ca="1"/>
        <v>0</v>
      </c>
    </row>
    <row r="25" spans="5:22" x14ac:dyDescent="0.3">
      <c r="E25">
        <f ca="1"/>
        <v>660737</v>
      </c>
      <c r="F25" t="str">
        <f ca="1"/>
        <v>כנען</v>
      </c>
      <c r="G25" t="str">
        <f ca="1"/>
        <v>זשי</v>
      </c>
      <c r="H25" s="56">
        <f ca="1"/>
        <v>34832</v>
      </c>
      <c r="I25" t="str">
        <f ca="1"/>
        <v>כפר חיים</v>
      </c>
      <c r="J25" t="str">
        <f ca="1"/>
        <v>נתניה</v>
      </c>
      <c r="K25" t="str">
        <f ca="1"/>
        <v>פרימיום</v>
      </c>
      <c r="L25" s="56">
        <f ca="1"/>
        <v>43765</v>
      </c>
      <c r="M25" s="53">
        <f ca="1"/>
        <v>0.79642054970172316</v>
      </c>
      <c r="N25" s="53">
        <f ca="1"/>
        <v>0.85500605300513188</v>
      </c>
      <c r="O25" s="55">
        <f ca="1"/>
        <v>300</v>
      </c>
      <c r="P25" t="str">
        <f ca="1"/>
        <v>כנען זשי</v>
      </c>
      <c r="Q25" s="56">
        <f ca="1"/>
        <v>45059</v>
      </c>
      <c r="R25" s="55">
        <f ca="1"/>
        <v>110</v>
      </c>
      <c r="S25" s="53">
        <f ca="1"/>
        <v>5.8585503303408726E-2</v>
      </c>
      <c r="T25">
        <f ca="1"/>
        <v>14.7</v>
      </c>
      <c r="U25" s="53">
        <f ca="1"/>
        <v>1.6666666666666666E-2</v>
      </c>
      <c r="V25" s="55">
        <f ca="1"/>
        <v>180</v>
      </c>
    </row>
    <row r="26" spans="5:22" x14ac:dyDescent="0.3">
      <c r="E26">
        <f ca="1"/>
        <v>612470</v>
      </c>
      <c r="F26" t="str">
        <f ca="1"/>
        <v>לבייב</v>
      </c>
      <c r="G26" t="str">
        <f ca="1"/>
        <v>לב</v>
      </c>
      <c r="H26" s="56">
        <f ca="1"/>
        <v>34815</v>
      </c>
      <c r="I26" t="str">
        <f ca="1"/>
        <v>נתניה</v>
      </c>
      <c r="J26" t="str">
        <f ca="1"/>
        <v>רופין</v>
      </c>
      <c r="K26" t="str">
        <f ca="1"/>
        <v>רגיל</v>
      </c>
      <c r="L26" s="56">
        <f ca="1"/>
        <v>43765</v>
      </c>
      <c r="M26" s="53">
        <f ca="1"/>
        <v>0.97985894760799286</v>
      </c>
      <c r="N26" s="53">
        <f ca="1"/>
        <v>6.7614237301796054E-2</v>
      </c>
      <c r="O26" s="55">
        <f ca="1"/>
        <v>200</v>
      </c>
      <c r="P26" t="str">
        <f ca="1"/>
        <v>לבייב לב</v>
      </c>
      <c r="Q26" s="56">
        <f ca="1"/>
        <v>45042</v>
      </c>
      <c r="R26" s="55">
        <f ca="1"/>
        <v>40</v>
      </c>
      <c r="S26" s="53">
        <f ca="1"/>
        <v>8.7755289693803196E-2</v>
      </c>
      <c r="T26">
        <f ca="1"/>
        <v>25.4</v>
      </c>
      <c r="U26" s="53">
        <f ca="1"/>
        <v>2.7083333333333334E-2</v>
      </c>
      <c r="V26" s="55">
        <f ca="1"/>
        <v>120</v>
      </c>
    </row>
    <row r="27" spans="5:22" x14ac:dyDescent="0.3">
      <c r="E27">
        <f ca="1"/>
        <v>890458</v>
      </c>
      <c r="F27" t="str">
        <f ca="1"/>
        <v>לוי</v>
      </c>
      <c r="G27" t="str">
        <f ca="1"/>
        <v>דוד</v>
      </c>
      <c r="H27" s="56">
        <f ca="1"/>
        <v>35102</v>
      </c>
      <c r="I27" t="str">
        <f ca="1"/>
        <v>נתניה</v>
      </c>
      <c r="J27" t="str">
        <f ca="1"/>
        <v>נתניה</v>
      </c>
      <c r="K27" t="str">
        <f ca="1"/>
        <v>פרימיום</v>
      </c>
      <c r="L27" s="56">
        <f ca="1"/>
        <v>44122</v>
      </c>
      <c r="M27" s="53">
        <f ca="1"/>
        <v>0.80324398861649371</v>
      </c>
      <c r="N27" s="53">
        <f ca="1"/>
        <v>0.90638920920483423</v>
      </c>
      <c r="O27" s="55">
        <f ca="1"/>
        <v>461</v>
      </c>
      <c r="P27" t="str">
        <f ca="1"/>
        <v>לוי דוד</v>
      </c>
      <c r="Q27" s="56">
        <f ca="1"/>
        <v>44964</v>
      </c>
      <c r="R27" s="55">
        <f ca="1"/>
        <v>110</v>
      </c>
      <c r="S27" s="53">
        <f ca="1"/>
        <v>0.10314522058834052</v>
      </c>
      <c r="T27">
        <f ca="1"/>
        <v>25.4</v>
      </c>
      <c r="U27" s="53">
        <f ca="1"/>
        <v>2.7083333333333334E-2</v>
      </c>
      <c r="V27" s="55">
        <f ca="1"/>
        <v>180</v>
      </c>
    </row>
    <row r="28" spans="5:22" x14ac:dyDescent="0.3">
      <c r="E28">
        <f ca="1"/>
        <v>244488</v>
      </c>
      <c r="F28" t="str">
        <f ca="1"/>
        <v>לוין</v>
      </c>
      <c r="G28" t="str">
        <f ca="1"/>
        <v>דפנה</v>
      </c>
      <c r="H28" s="56">
        <f ca="1"/>
        <v>36691</v>
      </c>
      <c r="I28" t="str">
        <f ca="1"/>
        <v>בארותיים</v>
      </c>
      <c r="J28" t="str">
        <f ca="1"/>
        <v>רופין</v>
      </c>
      <c r="K28" t="str">
        <f ca="1"/>
        <v>רגיל</v>
      </c>
      <c r="L28" s="56">
        <f ca="1"/>
        <v>43387</v>
      </c>
      <c r="M28" s="53">
        <f ca="1"/>
        <v>0.75534648640299729</v>
      </c>
      <c r="N28" s="53">
        <f ca="1"/>
        <v>0.9067501194179779</v>
      </c>
      <c r="O28" s="55">
        <f ca="1"/>
        <v>239</v>
      </c>
      <c r="P28" t="str">
        <f ca="1"/>
        <v>לוין דפנה</v>
      </c>
      <c r="Q28" s="56">
        <f ca="1"/>
        <v>44726</v>
      </c>
      <c r="R28" s="55">
        <f ca="1"/>
        <v>40</v>
      </c>
      <c r="S28" s="53">
        <f ca="1"/>
        <v>0.15140363301498061</v>
      </c>
      <c r="T28">
        <f ca="1"/>
        <v>29.7</v>
      </c>
      <c r="U28" s="53">
        <f ca="1"/>
        <v>1.8749999999999999E-2</v>
      </c>
      <c r="V28" s="55">
        <f ca="1"/>
        <v>0</v>
      </c>
    </row>
    <row r="29" spans="5:22" x14ac:dyDescent="0.3">
      <c r="E29">
        <f ca="1"/>
        <v>137451</v>
      </c>
      <c r="F29" t="str">
        <f ca="1"/>
        <v>ניר</v>
      </c>
      <c r="G29" t="str">
        <f ca="1"/>
        <v>שרה</v>
      </c>
      <c r="H29" s="56">
        <f ca="1"/>
        <v>36699</v>
      </c>
      <c r="I29" t="str">
        <f ca="1"/>
        <v>חניאל</v>
      </c>
      <c r="J29" t="str">
        <f ca="1"/>
        <v>נתניה</v>
      </c>
      <c r="K29" t="str">
        <f ca="1"/>
        <v>פרימיום</v>
      </c>
      <c r="L29" s="56">
        <f ca="1"/>
        <v>43387</v>
      </c>
      <c r="M29" s="53">
        <f ca="1"/>
        <v>0.91605333945878731</v>
      </c>
      <c r="N29" s="53">
        <f ca="1"/>
        <v>3.9230484268211407E-2</v>
      </c>
      <c r="O29" s="55">
        <f ca="1"/>
        <v>490</v>
      </c>
      <c r="P29" t="str">
        <f ca="1"/>
        <v>ניר שרה</v>
      </c>
      <c r="Q29" s="56">
        <f ca="1"/>
        <v>44734</v>
      </c>
      <c r="R29" s="55">
        <f ca="1"/>
        <v>110</v>
      </c>
      <c r="S29" s="53">
        <f ca="1"/>
        <v>0.1231771448094241</v>
      </c>
      <c r="T29">
        <f ca="1"/>
        <v>19.899999999999999</v>
      </c>
      <c r="U29" s="53">
        <f ca="1"/>
        <v>1.9444444444444445E-2</v>
      </c>
      <c r="V29" s="55">
        <f ca="1"/>
        <v>0</v>
      </c>
    </row>
    <row r="30" spans="5:22" x14ac:dyDescent="0.3">
      <c r="E30">
        <f ca="1"/>
        <v>540232</v>
      </c>
      <c r="F30" t="str">
        <f ca="1"/>
        <v>סגל</v>
      </c>
      <c r="G30" t="str">
        <f ca="1"/>
        <v>שולה</v>
      </c>
      <c r="H30" s="56">
        <f ca="1"/>
        <v>35656</v>
      </c>
      <c r="I30" t="str">
        <f ca="1"/>
        <v>חדרה</v>
      </c>
      <c r="J30" t="str">
        <f ca="1"/>
        <v>נתניה</v>
      </c>
      <c r="K30" t="str">
        <f ca="1"/>
        <v>פרימיום</v>
      </c>
      <c r="L30" s="56">
        <f ca="1"/>
        <v>44479</v>
      </c>
      <c r="M30" s="53">
        <f ca="1"/>
        <v>0.99684115163471532</v>
      </c>
      <c r="N30" s="53">
        <f ca="1"/>
        <v>6.1248534487368778E-2</v>
      </c>
      <c r="O30" s="55">
        <f ca="1"/>
        <v>256</v>
      </c>
      <c r="P30" t="str">
        <f ca="1"/>
        <v>סגל שולה</v>
      </c>
      <c r="Q30" s="56">
        <f ca="1"/>
        <v>44787</v>
      </c>
      <c r="R30" s="55">
        <f ca="1"/>
        <v>110</v>
      </c>
      <c r="S30" s="53">
        <f ca="1"/>
        <v>6.4407382852653461E-2</v>
      </c>
      <c r="T30">
        <f ca="1"/>
        <v>3.3</v>
      </c>
      <c r="U30" s="53">
        <f ca="1"/>
        <v>5.5555555555555558E-3</v>
      </c>
      <c r="V30" s="55">
        <f ca="1"/>
        <v>220</v>
      </c>
    </row>
    <row r="31" spans="5:22" x14ac:dyDescent="0.3">
      <c r="E31">
        <f ca="1"/>
        <v>804693</v>
      </c>
      <c r="F31" t="str">
        <f ca="1"/>
        <v>פז</v>
      </c>
      <c r="G31" t="str">
        <f ca="1"/>
        <v>טלי</v>
      </c>
      <c r="H31" s="56">
        <f ca="1"/>
        <v>36384</v>
      </c>
      <c r="I31" t="str">
        <f ca="1"/>
        <v>כפר מונאש</v>
      </c>
      <c r="J31" t="str">
        <f ca="1"/>
        <v>רופין</v>
      </c>
      <c r="K31" t="str">
        <f ca="1"/>
        <v>רגיל</v>
      </c>
      <c r="L31" s="56">
        <f ca="1"/>
        <v>44479</v>
      </c>
      <c r="M31" s="53">
        <f ca="1"/>
        <v>0.89673114491638417</v>
      </c>
      <c r="N31" s="53">
        <f ca="1"/>
        <v>5.18449230066933E-2</v>
      </c>
      <c r="O31" s="55">
        <f ca="1"/>
        <v>21</v>
      </c>
      <c r="P31" t="str">
        <f ca="1"/>
        <v>פז טלי</v>
      </c>
      <c r="Q31" s="56">
        <f ca="1"/>
        <v>44785</v>
      </c>
      <c r="R31" s="55">
        <f ca="1"/>
        <v>40</v>
      </c>
      <c r="S31" s="53">
        <f ca="1"/>
        <v>0.15511377809030913</v>
      </c>
      <c r="T31">
        <f ca="1"/>
        <v>16.8</v>
      </c>
      <c r="U31" s="53">
        <f ca="1"/>
        <v>1.5277777777777777E-2</v>
      </c>
      <c r="V31" s="55">
        <f ca="1"/>
        <v>260</v>
      </c>
    </row>
    <row r="32" spans="5:22" x14ac:dyDescent="0.3">
      <c r="E32">
        <f ca="1"/>
        <v>673900</v>
      </c>
      <c r="F32" t="str">
        <f ca="1"/>
        <v>פיק</v>
      </c>
      <c r="G32" t="str">
        <f ca="1"/>
        <v>אילנה</v>
      </c>
      <c r="H32" s="56">
        <f ca="1"/>
        <v>36075</v>
      </c>
      <c r="I32" t="str">
        <f ca="1"/>
        <v>בארותיים</v>
      </c>
      <c r="J32" t="str">
        <f ca="1"/>
        <v>נתניה</v>
      </c>
      <c r="K32" t="str">
        <f ca="1"/>
        <v>פרימיום</v>
      </c>
      <c r="L32" s="56">
        <f ca="1"/>
        <v>44479</v>
      </c>
      <c r="M32" s="53">
        <f ca="1"/>
        <v>0.99883896467108269</v>
      </c>
      <c r="N32" s="53">
        <f ca="1"/>
        <v>9.9730029296440259E-2</v>
      </c>
      <c r="O32" s="55">
        <f ca="1"/>
        <v>483</v>
      </c>
      <c r="P32" t="str">
        <f ca="1"/>
        <v>פיק אילנה</v>
      </c>
      <c r="Q32" s="56">
        <f ca="1"/>
        <v>44841</v>
      </c>
      <c r="R32" s="55">
        <f ca="1"/>
        <v>110</v>
      </c>
      <c r="S32" s="53">
        <f ca="1"/>
        <v>0.10089106462535757</v>
      </c>
      <c r="T32">
        <f ca="1"/>
        <v>29.7</v>
      </c>
      <c r="U32" s="53">
        <f ca="1"/>
        <v>1.8749999999999999E-2</v>
      </c>
      <c r="V32" s="55">
        <f ca="1"/>
        <v>220</v>
      </c>
    </row>
    <row r="33" spans="5:22" x14ac:dyDescent="0.3">
      <c r="E33">
        <f ca="1"/>
        <v>703735</v>
      </c>
      <c r="F33" t="str">
        <f ca="1"/>
        <v>קדוש</v>
      </c>
      <c r="G33" t="str">
        <f ca="1"/>
        <v>דויד</v>
      </c>
      <c r="H33" s="56">
        <f ca="1"/>
        <v>36487</v>
      </c>
      <c r="I33" t="str">
        <f ca="1"/>
        <v>בורגתא</v>
      </c>
      <c r="J33" t="str">
        <f ca="1"/>
        <v>נתניה</v>
      </c>
      <c r="K33" t="str">
        <f ca="1"/>
        <v>פרימיום</v>
      </c>
      <c r="L33" s="56">
        <f ca="1"/>
        <v>44479</v>
      </c>
      <c r="M33" s="53">
        <f ca="1"/>
        <v>0.8108958472704082</v>
      </c>
      <c r="N33" s="53">
        <f ca="1"/>
        <v>0.91080508039650221</v>
      </c>
      <c r="O33" s="55">
        <f ca="1"/>
        <v>108</v>
      </c>
      <c r="P33" t="str">
        <f ca="1"/>
        <v>קדוש דויד</v>
      </c>
      <c r="Q33" s="56">
        <f ca="1"/>
        <v>44888</v>
      </c>
      <c r="R33" s="55">
        <f ca="1"/>
        <v>110</v>
      </c>
      <c r="S33" s="53">
        <f ca="1"/>
        <v>9.990923312609401E-2</v>
      </c>
      <c r="T33">
        <f ca="1"/>
        <v>31.7</v>
      </c>
      <c r="U33" s="53">
        <f ca="1"/>
        <v>2.013888888888889E-2</v>
      </c>
      <c r="V33" s="55">
        <f ca="1"/>
        <v>220</v>
      </c>
    </row>
    <row r="34" spans="5:22" x14ac:dyDescent="0.3">
      <c r="E34">
        <f ca="1"/>
        <v>867217</v>
      </c>
      <c r="F34" t="str">
        <f ca="1"/>
        <v>רם</v>
      </c>
      <c r="G34" t="str">
        <f ca="1"/>
        <v>שלומי</v>
      </c>
      <c r="H34" s="56">
        <f ca="1"/>
        <v>35903</v>
      </c>
      <c r="I34" t="str">
        <f ca="1"/>
        <v>בארותיים</v>
      </c>
      <c r="J34" t="str">
        <f ca="1"/>
        <v>רופין</v>
      </c>
      <c r="K34" t="str">
        <f ca="1"/>
        <v>רגיל</v>
      </c>
      <c r="L34" s="56">
        <f ca="1"/>
        <v>44122</v>
      </c>
      <c r="M34" s="53">
        <f ca="1"/>
        <v>0.95517891338472749</v>
      </c>
      <c r="N34" s="53">
        <f ca="1"/>
        <v>1.3389840926406382E-2</v>
      </c>
      <c r="O34" s="55">
        <f ca="1"/>
        <v>329</v>
      </c>
      <c r="P34" t="str">
        <f ca="1"/>
        <v>רם שלומי</v>
      </c>
      <c r="Q34" s="56">
        <f ca="1"/>
        <v>45034</v>
      </c>
      <c r="R34" s="55">
        <f ca="1"/>
        <v>40</v>
      </c>
      <c r="S34" s="53">
        <f ca="1"/>
        <v>5.8210927541678892E-2</v>
      </c>
      <c r="T34">
        <f ca="1"/>
        <v>29.7</v>
      </c>
      <c r="U34" s="53">
        <f ca="1"/>
        <v>1.8749999999999999E-2</v>
      </c>
      <c r="V34" s="55">
        <f ca="1"/>
        <v>120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7511E-E684-468C-8A42-57B807C93005}">
  <sheetPr codeName="Sheet4"/>
  <dimension ref="A1:H14"/>
  <sheetViews>
    <sheetView rightToLeft="1" workbookViewId="0">
      <selection activeCell="B11" sqref="B11"/>
    </sheetView>
  </sheetViews>
  <sheetFormatPr defaultRowHeight="14.4" x14ac:dyDescent="0.3"/>
  <cols>
    <col min="1" max="1" width="7.88671875" customWidth="1"/>
    <col min="3" max="3" width="15.88671875" customWidth="1"/>
    <col min="5" max="5" width="10.88671875" customWidth="1"/>
    <col min="6" max="6" width="8.88671875" customWidth="1"/>
    <col min="7" max="7" width="10.44140625" customWidth="1"/>
  </cols>
  <sheetData>
    <row r="1" spans="1:8" x14ac:dyDescent="0.3">
      <c r="A1" s="41" t="s">
        <v>237</v>
      </c>
      <c r="B1" s="41">
        <f>ID_NUM</f>
        <v>313116295</v>
      </c>
    </row>
    <row r="2" spans="1:8" ht="19.8" x14ac:dyDescent="0.4">
      <c r="C2" s="34"/>
      <c r="D2" s="35" t="s">
        <v>231</v>
      </c>
      <c r="E2" s="34"/>
      <c r="F2" s="34"/>
      <c r="G2" s="34"/>
      <c r="H2" s="34"/>
    </row>
    <row r="3" spans="1:8" ht="17.399999999999999" x14ac:dyDescent="0.35">
      <c r="B3" s="34" t="s">
        <v>230</v>
      </c>
      <c r="D3" s="34"/>
      <c r="E3" s="34"/>
      <c r="F3" s="34"/>
      <c r="G3" s="34"/>
      <c r="H3" s="34"/>
    </row>
    <row r="4" spans="1:8" x14ac:dyDescent="0.3">
      <c r="C4" s="27" t="s">
        <v>236</v>
      </c>
    </row>
    <row r="5" spans="1:8" ht="20.399999999999999" customHeight="1" x14ac:dyDescent="0.35">
      <c r="C5" s="32" t="s">
        <v>232</v>
      </c>
      <c r="D5" s="42" t="s">
        <v>203</v>
      </c>
      <c r="E5" s="42" t="s">
        <v>202</v>
      </c>
      <c r="F5" s="42" t="s">
        <v>196</v>
      </c>
      <c r="G5" s="42" t="s">
        <v>204</v>
      </c>
    </row>
    <row r="6" spans="1:8" ht="18" thickBot="1" x14ac:dyDescent="0.4">
      <c r="C6" s="32" t="s">
        <v>213</v>
      </c>
      <c r="D6" s="33">
        <f>COUNTIFS(ישובים,$C6,מכללה,Statistics!D$5,כרטיס,$B$11)</f>
        <v>0</v>
      </c>
      <c r="E6" s="33">
        <f>COUNTIFS(ישובים,$C6,מכללה,Statistics!E$5,כרטיס,$B$11)</f>
        <v>1</v>
      </c>
      <c r="F6" s="33">
        <f>COUNTIFS(ישובים,$C6,מכללה,Statistics!F$5,כרטיס,$B$11)</f>
        <v>1</v>
      </c>
      <c r="G6" s="33">
        <f>COUNTIFS(ישובים,$C6,מכללה,Statistics!G$5,כרטיס,$B$11)</f>
        <v>0</v>
      </c>
    </row>
    <row r="7" spans="1:8" ht="17.399999999999999" x14ac:dyDescent="0.35">
      <c r="A7" t="s">
        <v>250</v>
      </c>
      <c r="B7" s="60" t="s">
        <v>248</v>
      </c>
      <c r="C7" s="57" t="s">
        <v>203</v>
      </c>
      <c r="D7" s="33">
        <f>COUNTIFS(ישובים,$C7,מכללה,Statistics!D$5,כרטיס,$B$11)</f>
        <v>2</v>
      </c>
      <c r="E7" s="33">
        <f>COUNTIFS(ישובים,$C7,מכללה,Statistics!E$5,כרטיס,$B$11)</f>
        <v>1</v>
      </c>
      <c r="F7" s="33">
        <f>COUNTIFS(ישובים,$C7,מכללה,Statistics!F$5,כרטיס,$B$11)</f>
        <v>2</v>
      </c>
      <c r="G7" s="33">
        <f>COUNTIFS(ישובים,$C7,מכללה,Statistics!G$5,כרטיס,$B$11)</f>
        <v>2</v>
      </c>
    </row>
    <row r="8" spans="1:8" ht="17.399999999999999" x14ac:dyDescent="0.35">
      <c r="B8" s="58" t="str" cm="1">
        <f t="array" ref="B8:B10">_xlfn.UNIQUE(Students!G3:G111)</f>
        <v>פרימיום</v>
      </c>
      <c r="C8" s="57" t="s">
        <v>208</v>
      </c>
      <c r="D8" s="33">
        <f>COUNTIFS(ישובים,$C8,מכללה,Statistics!D$5,כרטיס,$B$11)</f>
        <v>1</v>
      </c>
      <c r="E8" s="33">
        <f>COUNTIFS(ישובים,$C8,מכללה,Statistics!E$5,כרטיס,$B$11)</f>
        <v>0</v>
      </c>
      <c r="F8" s="33">
        <f>COUNTIFS(ישובים,$C8,מכללה,Statistics!F$5,כרטיס,$B$11)</f>
        <v>1</v>
      </c>
      <c r="G8" s="33">
        <f>COUNTIFS(ישובים,$C8,מכללה,Statistics!G$5,כרטיס,$B$11)</f>
        <v>1</v>
      </c>
    </row>
    <row r="9" spans="1:8" ht="17.399999999999999" x14ac:dyDescent="0.35">
      <c r="B9" s="58" t="str">
        <v>רגיל</v>
      </c>
      <c r="C9" s="57" t="s">
        <v>209</v>
      </c>
      <c r="D9" s="33">
        <f>COUNTIFS(ישובים,$C9,מכללה,Statistics!D$5,כרטיס,$B$11)</f>
        <v>1</v>
      </c>
      <c r="E9" s="33">
        <f>COUNTIFS(ישובים,$C9,מכללה,Statistics!E$5,כרטיס,$B$11)</f>
        <v>1</v>
      </c>
      <c r="F9" s="33">
        <f>COUNTIFS(ישובים,$C9,מכללה,Statistics!F$5,כרטיס,$B$11)</f>
        <v>1</v>
      </c>
      <c r="G9" s="33">
        <f>COUNTIFS(ישובים,$C9,מכללה,Statistics!G$5,כרטיס,$B$11)</f>
        <v>1</v>
      </c>
    </row>
    <row r="10" spans="1:8" ht="18" thickBot="1" x14ac:dyDescent="0.4">
      <c r="B10" s="59" t="str">
        <v>מיוחד</v>
      </c>
      <c r="C10" s="57" t="s">
        <v>211</v>
      </c>
      <c r="D10" s="33">
        <f>COUNTIFS(ישובים,$C10,מכללה,Statistics!D$5,כרטיס,$B$11)</f>
        <v>1</v>
      </c>
      <c r="E10" s="33">
        <f>COUNTIFS(ישובים,$C10,מכללה,Statistics!E$5,כרטיס,$B$11)</f>
        <v>1</v>
      </c>
      <c r="F10" s="33">
        <f>COUNTIFS(ישובים,$C10,מכללה,Statistics!F$5,כרטיס,$B$11)</f>
        <v>0</v>
      </c>
      <c r="G10" s="33">
        <f>COUNTIFS(ישובים,$C10,מכללה,Statistics!G$5,כרטיס,$B$11)</f>
        <v>3</v>
      </c>
    </row>
    <row r="11" spans="1:8" ht="17.399999999999999" x14ac:dyDescent="0.35">
      <c r="A11" t="s">
        <v>249</v>
      </c>
      <c r="B11" s="61" t="s">
        <v>119</v>
      </c>
      <c r="C11" s="32" t="s">
        <v>212</v>
      </c>
      <c r="D11" s="33">
        <f>COUNTIFS(ישובים,$C11,מכללה,Statistics!D$5,כרטיס,$B$11)</f>
        <v>1</v>
      </c>
      <c r="E11" s="33">
        <f>COUNTIFS(ישובים,$C11,מכללה,Statistics!E$5,כרטיס,$B$11)</f>
        <v>2</v>
      </c>
      <c r="F11" s="33">
        <f>COUNTIFS(ישובים,$C11,מכללה,Statistics!F$5,כרטיס,$B$11)</f>
        <v>0</v>
      </c>
      <c r="G11" s="33">
        <f>COUNTIFS(ישובים,$C11,מכללה,Statistics!G$5,כרטיס,$B$11)</f>
        <v>2</v>
      </c>
    </row>
    <row r="12" spans="1:8" ht="17.399999999999999" x14ac:dyDescent="0.35">
      <c r="C12" s="32" t="s">
        <v>210</v>
      </c>
      <c r="D12" s="33">
        <f>COUNTIFS(ישובים,$C12,מכללה,Statistics!D$5,כרטיס,$B$11)</f>
        <v>2</v>
      </c>
      <c r="E12" s="33">
        <f>COUNTIFS(ישובים,$C12,מכללה,Statistics!E$5,כרטיס,$B$11)</f>
        <v>2</v>
      </c>
      <c r="F12" s="33">
        <f>COUNTIFS(ישובים,$C12,מכללה,Statistics!F$5,כרטיס,$B$11)</f>
        <v>3</v>
      </c>
      <c r="G12" s="33">
        <f>COUNTIFS(ישובים,$C12,מכללה,Statistics!G$5,כרטיס,$B$11)</f>
        <v>0</v>
      </c>
    </row>
    <row r="13" spans="1:8" ht="17.399999999999999" x14ac:dyDescent="0.35">
      <c r="C13" s="32" t="s">
        <v>206</v>
      </c>
      <c r="D13" s="33">
        <f>COUNTIFS(ישובים,$C13,מכללה,Statistics!D$5,כרטיס,$B$11)</f>
        <v>1</v>
      </c>
      <c r="E13" s="33">
        <f>COUNTIFS(ישובים,$C13,מכללה,Statistics!E$5,כרטיס,$B$11)</f>
        <v>1</v>
      </c>
      <c r="F13" s="33">
        <f>COUNTIFS(ישובים,$C13,מכללה,Statistics!F$5,כרטיס,$B$11)</f>
        <v>0</v>
      </c>
      <c r="G13" s="33">
        <f>COUNTIFS(ישובים,$C13,מכללה,Statistics!G$5,כרטיס,$B$11)</f>
        <v>0</v>
      </c>
    </row>
    <row r="14" spans="1:8" ht="17.399999999999999" x14ac:dyDescent="0.35">
      <c r="C14" s="32" t="s">
        <v>207</v>
      </c>
      <c r="D14" s="33">
        <f>COUNTIFS(ישובים,$C14,מכללה,Statistics!D$5,כרטיס,$B$11)</f>
        <v>1</v>
      </c>
      <c r="E14" s="33">
        <f>COUNTIFS(ישובים,$C14,מכללה,Statistics!E$5,כרטיס,$B$11)</f>
        <v>0</v>
      </c>
      <c r="F14" s="33">
        <f>COUNTIFS(ישובים,$C14,מכללה,Statistics!F$5,כרטיס,$B$11)</f>
        <v>1</v>
      </c>
      <c r="G14" s="33">
        <f>COUNTIFS(ישובים,$C14,מכללה,Statistics!G$5,כרטיס,$B$11)</f>
        <v>0</v>
      </c>
    </row>
  </sheetData>
  <dataValidations count="1">
    <dataValidation type="list" allowBlank="1" showInputMessage="1" showErrorMessage="1" sqref="B11" xr:uid="{9ECBE534-080E-418C-B021-2D85CA192083}">
      <formula1>$B$8:$B$10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C3D6-2C11-4FA7-B649-1D85ACCBA139}">
  <sheetPr codeName="Sheet5"/>
  <dimension ref="A1:M21"/>
  <sheetViews>
    <sheetView rightToLeft="1" workbookViewId="0">
      <selection activeCell="H14" sqref="H14"/>
    </sheetView>
  </sheetViews>
  <sheetFormatPr defaultRowHeight="14.4" x14ac:dyDescent="0.3"/>
  <cols>
    <col min="1" max="1" width="7.109375" customWidth="1"/>
    <col min="2" max="2" width="19.21875" bestFit="1" customWidth="1"/>
    <col min="3" max="3" width="12.5546875" bestFit="1" customWidth="1"/>
    <col min="4" max="7" width="8.5546875" bestFit="1" customWidth="1"/>
    <col min="8" max="8" width="17.6640625" customWidth="1"/>
    <col min="9" max="9" width="20.33203125" customWidth="1"/>
  </cols>
  <sheetData>
    <row r="1" spans="1:7" x14ac:dyDescent="0.3">
      <c r="A1" s="41" t="s">
        <v>237</v>
      </c>
      <c r="B1" s="41">
        <f>ID_NUM</f>
        <v>313116295</v>
      </c>
    </row>
    <row r="4" spans="1:7" x14ac:dyDescent="0.3">
      <c r="B4" s="62" t="s">
        <v>254</v>
      </c>
      <c r="C4" s="62" t="s">
        <v>253</v>
      </c>
    </row>
    <row r="5" spans="1:7" x14ac:dyDescent="0.3">
      <c r="B5" s="62" t="s">
        <v>251</v>
      </c>
      <c r="C5" t="s">
        <v>202</v>
      </c>
      <c r="D5" t="s">
        <v>204</v>
      </c>
      <c r="E5" t="s">
        <v>203</v>
      </c>
      <c r="F5" t="s">
        <v>196</v>
      </c>
      <c r="G5" t="s">
        <v>252</v>
      </c>
    </row>
    <row r="6" spans="1:7" x14ac:dyDescent="0.3">
      <c r="B6" s="63" t="s">
        <v>118</v>
      </c>
      <c r="C6" s="54">
        <v>240.83333333333334</v>
      </c>
      <c r="D6" s="54">
        <v>197.77777777777777</v>
      </c>
      <c r="E6" s="54">
        <v>283</v>
      </c>
      <c r="F6" s="54">
        <v>301.60000000000002</v>
      </c>
      <c r="G6" s="54">
        <v>254.24137931034483</v>
      </c>
    </row>
    <row r="7" spans="1:7" x14ac:dyDescent="0.3">
      <c r="B7" s="63" t="s">
        <v>119</v>
      </c>
      <c r="C7" s="54">
        <v>242.66666666666666</v>
      </c>
      <c r="D7" s="54">
        <v>184</v>
      </c>
      <c r="E7" s="54">
        <v>333</v>
      </c>
      <c r="F7" s="65">
        <v>230.4</v>
      </c>
      <c r="G7" s="54">
        <v>246.57692307692307</v>
      </c>
    </row>
    <row r="8" spans="1:7" x14ac:dyDescent="0.3">
      <c r="B8" s="63" t="s">
        <v>117</v>
      </c>
      <c r="C8" s="54">
        <v>303.33333333333331</v>
      </c>
      <c r="D8" s="54">
        <v>274.33333333333331</v>
      </c>
      <c r="E8" s="54">
        <v>286.71428571428572</v>
      </c>
      <c r="F8" s="54">
        <v>157</v>
      </c>
      <c r="G8" s="54">
        <v>264.375</v>
      </c>
    </row>
    <row r="9" spans="1:7" x14ac:dyDescent="0.3">
      <c r="B9" s="63" t="s">
        <v>252</v>
      </c>
      <c r="C9" s="54">
        <v>268.14285714285717</v>
      </c>
      <c r="D9" s="54">
        <v>203.75</v>
      </c>
      <c r="E9" s="54">
        <v>303.88888888888891</v>
      </c>
      <c r="F9" s="54">
        <v>247.65</v>
      </c>
      <c r="G9" s="54">
        <v>254.79746835443038</v>
      </c>
    </row>
    <row r="19" spans="6:13" ht="31.2" x14ac:dyDescent="0.3">
      <c r="F19" s="9" t="s">
        <v>3</v>
      </c>
      <c r="G19" s="9" t="s">
        <v>116</v>
      </c>
      <c r="H19" s="9" t="s">
        <v>120</v>
      </c>
      <c r="I19" s="9" t="s">
        <v>120</v>
      </c>
      <c r="M19" s="9" t="s">
        <v>227</v>
      </c>
    </row>
    <row r="20" spans="6:13" ht="15.6" x14ac:dyDescent="0.3">
      <c r="F20" s="13" t="s">
        <v>196</v>
      </c>
      <c r="G20" s="13" t="s">
        <v>119</v>
      </c>
      <c r="H20" s="13" t="s">
        <v>255</v>
      </c>
      <c r="I20" s="13" t="s">
        <v>256</v>
      </c>
    </row>
    <row r="21" spans="6:13" x14ac:dyDescent="0.3">
      <c r="F21" s="64">
        <f>DAVERAGE(נתוניםסטודנטי,M19,F19:I20)</f>
        <v>230.4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2546-6666-4406-8136-B067838C5877}">
  <sheetPr codeName="Sheet6"/>
  <dimension ref="A1:N34"/>
  <sheetViews>
    <sheetView rightToLeft="1" topLeftCell="G1" zoomScaleNormal="100" workbookViewId="0">
      <selection activeCell="G18" sqref="G18"/>
    </sheetView>
  </sheetViews>
  <sheetFormatPr defaultColWidth="8.6640625" defaultRowHeight="14.4" x14ac:dyDescent="0.3"/>
  <cols>
    <col min="1" max="1" width="22" customWidth="1"/>
    <col min="2" max="2" width="14.44140625" customWidth="1"/>
    <col min="3" max="3" width="4.109375" customWidth="1"/>
    <col min="4" max="4" width="3.44140625" customWidth="1"/>
    <col min="5" max="5" width="22.5546875" bestFit="1" customWidth="1"/>
    <col min="6" max="6" width="15.5546875" bestFit="1" customWidth="1"/>
    <col min="7" max="9" width="8.33203125" bestFit="1" customWidth="1"/>
    <col min="10" max="10" width="10.88671875" bestFit="1" customWidth="1"/>
    <col min="11" max="11" width="11.88671875" bestFit="1" customWidth="1"/>
    <col min="12" max="12" width="10.88671875" bestFit="1" customWidth="1"/>
    <col min="13" max="13" width="9" bestFit="1" customWidth="1"/>
    <col min="14" max="14" width="9.109375" bestFit="1" customWidth="1"/>
  </cols>
  <sheetData>
    <row r="1" spans="1:12" ht="15" thickBot="1" x14ac:dyDescent="0.35">
      <c r="A1" s="41" t="s">
        <v>237</v>
      </c>
      <c r="B1" s="41">
        <f>ID_NUM</f>
        <v>313116295</v>
      </c>
      <c r="C1" s="2"/>
      <c r="D1" s="2"/>
      <c r="E1" s="2"/>
      <c r="F1" s="2"/>
      <c r="G1" s="2"/>
    </row>
    <row r="2" spans="1:12" ht="17.399999999999999" x14ac:dyDescent="0.3">
      <c r="A2" s="3" t="s">
        <v>229</v>
      </c>
      <c r="B2" s="4"/>
      <c r="C2" s="4"/>
      <c r="D2" s="4"/>
      <c r="E2" s="4"/>
      <c r="F2" s="4"/>
      <c r="I2" s="69"/>
      <c r="J2" s="70" t="s">
        <v>260</v>
      </c>
      <c r="K2" s="70" t="s">
        <v>261</v>
      </c>
      <c r="L2" s="71" t="s">
        <v>124</v>
      </c>
    </row>
    <row r="3" spans="1:12" ht="17.399999999999999" x14ac:dyDescent="0.3">
      <c r="A3" s="4"/>
      <c r="B3" s="43">
        <v>208.94568690095849</v>
      </c>
      <c r="C3" s="4"/>
      <c r="D3" s="4"/>
      <c r="E3" s="5" t="s">
        <v>235</v>
      </c>
      <c r="F3" s="43">
        <v>50</v>
      </c>
      <c r="I3" s="87"/>
      <c r="J3" s="72">
        <f>F7</f>
        <v>6275.2293577981654</v>
      </c>
      <c r="K3" s="73">
        <f>F13</f>
        <v>10500</v>
      </c>
      <c r="L3" s="74">
        <f>F15</f>
        <v>-4224.7706422018346</v>
      </c>
    </row>
    <row r="4" spans="1:12" ht="17.399999999999999" x14ac:dyDescent="0.3">
      <c r="D4" s="4"/>
      <c r="F4" s="44"/>
      <c r="I4" s="87">
        <v>50</v>
      </c>
      <c r="J4" s="75">
        <f t="dataTable" ref="J4:L14" dt2D="0" dtr="0" r1="F3"/>
        <v>6275.2293577981654</v>
      </c>
      <c r="K4" s="75">
        <v>10500</v>
      </c>
      <c r="L4" s="76">
        <v>-4224.7706422018346</v>
      </c>
    </row>
    <row r="5" spans="1:12" ht="17.399999999999999" x14ac:dyDescent="0.3">
      <c r="D5" s="4"/>
      <c r="F5" s="44"/>
      <c r="I5" s="87">
        <v>75</v>
      </c>
      <c r="J5" s="75">
        <v>9412.8440366972482</v>
      </c>
      <c r="K5" s="75">
        <v>11250</v>
      </c>
      <c r="L5" s="76">
        <v>-1837.1559633027518</v>
      </c>
    </row>
    <row r="6" spans="1:12" ht="17.399999999999999" x14ac:dyDescent="0.3">
      <c r="B6" s="36" t="s">
        <v>125</v>
      </c>
      <c r="D6" s="4"/>
      <c r="E6" s="6" t="s">
        <v>238</v>
      </c>
      <c r="F6" s="81">
        <f>0.5*AVERAGE(Students!K3:K111)</f>
        <v>125.50458715596331</v>
      </c>
      <c r="I6" s="87">
        <v>100</v>
      </c>
      <c r="J6" s="75">
        <v>12550.458715596331</v>
      </c>
      <c r="K6" s="77">
        <v>12000</v>
      </c>
      <c r="L6" s="78">
        <v>550.45871559633088</v>
      </c>
    </row>
    <row r="7" spans="1:12" ht="17.399999999999999" x14ac:dyDescent="0.3">
      <c r="A7" s="29" t="s">
        <v>233</v>
      </c>
      <c r="B7" s="30" t="s">
        <v>234</v>
      </c>
      <c r="D7" s="4"/>
      <c r="E7" s="7" t="s">
        <v>122</v>
      </c>
      <c r="F7" s="82">
        <f>F6*F3</f>
        <v>6275.2293577981654</v>
      </c>
      <c r="I7" s="87">
        <v>125</v>
      </c>
      <c r="J7" s="75">
        <v>15688.073394495414</v>
      </c>
      <c r="K7" s="75">
        <v>12750</v>
      </c>
      <c r="L7" s="76">
        <v>2938.0733944954136</v>
      </c>
    </row>
    <row r="8" spans="1:12" ht="17.399999999999999" x14ac:dyDescent="0.3">
      <c r="A8" s="29">
        <v>200</v>
      </c>
      <c r="B8" s="31">
        <v>30</v>
      </c>
      <c r="D8" s="4"/>
      <c r="F8" s="54"/>
      <c r="I8" s="87">
        <v>150</v>
      </c>
      <c r="J8" s="75">
        <v>18825.688073394496</v>
      </c>
      <c r="K8" s="75">
        <v>13500</v>
      </c>
      <c r="L8" s="76">
        <v>5325.6880733944963</v>
      </c>
    </row>
    <row r="9" spans="1:12" ht="17.399999999999999" x14ac:dyDescent="0.3">
      <c r="A9" s="29" t="s">
        <v>126</v>
      </c>
      <c r="B9" s="31">
        <v>25</v>
      </c>
      <c r="D9" s="4"/>
      <c r="E9" s="66" t="s">
        <v>257</v>
      </c>
      <c r="F9" s="83">
        <v>9000</v>
      </c>
      <c r="I9" s="87">
        <v>175</v>
      </c>
      <c r="J9" s="75">
        <v>21963.302752293577</v>
      </c>
      <c r="K9" s="75">
        <v>14250</v>
      </c>
      <c r="L9" s="76">
        <v>7713.3027522935772</v>
      </c>
    </row>
    <row r="10" spans="1:12" ht="21" x14ac:dyDescent="0.4">
      <c r="A10" s="4"/>
      <c r="B10" s="4"/>
      <c r="D10" s="4"/>
      <c r="E10" s="67" t="s">
        <v>258</v>
      </c>
      <c r="F10" s="84">
        <f>IF($F$3&lt;=A8,F3*B8,F3*B9)</f>
        <v>1500</v>
      </c>
      <c r="I10" s="87">
        <v>200</v>
      </c>
      <c r="J10" s="75">
        <v>25100.917431192662</v>
      </c>
      <c r="K10" s="75">
        <v>15000</v>
      </c>
      <c r="L10" s="76">
        <v>10100.917431192662</v>
      </c>
    </row>
    <row r="11" spans="1:12" ht="17.399999999999999" x14ac:dyDescent="0.3">
      <c r="D11" s="4"/>
      <c r="F11" s="54"/>
      <c r="I11" s="87">
        <v>225</v>
      </c>
      <c r="J11" s="75">
        <v>28238.532110091743</v>
      </c>
      <c r="K11" s="75">
        <v>14625</v>
      </c>
      <c r="L11" s="76">
        <v>13613.532110091743</v>
      </c>
    </row>
    <row r="12" spans="1:12" ht="17.399999999999999" x14ac:dyDescent="0.3">
      <c r="C12" s="4"/>
      <c r="D12" s="4"/>
      <c r="F12" s="54"/>
      <c r="I12" s="87">
        <v>250</v>
      </c>
      <c r="J12" s="75">
        <v>31376.146788990827</v>
      </c>
      <c r="K12" s="75">
        <v>15250</v>
      </c>
      <c r="L12" s="76">
        <v>16126.146788990827</v>
      </c>
    </row>
    <row r="13" spans="1:12" ht="17.399999999999999" x14ac:dyDescent="0.3">
      <c r="C13" s="4"/>
      <c r="D13" s="2"/>
      <c r="E13" s="7" t="s">
        <v>123</v>
      </c>
      <c r="F13" s="82">
        <f>F9+F10</f>
        <v>10500</v>
      </c>
      <c r="I13" s="87">
        <v>275</v>
      </c>
      <c r="J13" s="75">
        <v>34513.761467889912</v>
      </c>
      <c r="K13" s="75">
        <v>15875</v>
      </c>
      <c r="L13" s="76">
        <v>18638.761467889912</v>
      </c>
    </row>
    <row r="14" spans="1:12" ht="18" thickBot="1" x14ac:dyDescent="0.35">
      <c r="C14" s="4"/>
      <c r="D14" s="2"/>
      <c r="E14" s="4"/>
      <c r="F14" s="85"/>
      <c r="I14" s="88">
        <v>300</v>
      </c>
      <c r="J14" s="79">
        <v>37651.376146788993</v>
      </c>
      <c r="K14" s="79">
        <v>16500</v>
      </c>
      <c r="L14" s="80">
        <v>21151.376146788993</v>
      </c>
    </row>
    <row r="15" spans="1:12" ht="17.399999999999999" x14ac:dyDescent="0.3">
      <c r="A15" s="2"/>
      <c r="B15" s="2"/>
      <c r="C15" s="2"/>
      <c r="D15" s="2"/>
      <c r="E15" s="8" t="s">
        <v>124</v>
      </c>
      <c r="F15" s="86">
        <f>F7-F13</f>
        <v>-4224.7706422018346</v>
      </c>
    </row>
    <row r="16" spans="1:12" x14ac:dyDescent="0.3">
      <c r="A16" s="2"/>
      <c r="B16" s="2"/>
      <c r="C16" s="2"/>
      <c r="D16" s="2"/>
      <c r="E16" s="2"/>
      <c r="F16" s="2"/>
    </row>
    <row r="17" spans="1:14" x14ac:dyDescent="0.3">
      <c r="N17" s="2"/>
    </row>
    <row r="18" spans="1:14" x14ac:dyDescent="0.3">
      <c r="N18" s="2"/>
    </row>
    <row r="19" spans="1:14" x14ac:dyDescent="0.3">
      <c r="N19" s="2"/>
    </row>
    <row r="20" spans="1:14" s="2" customFormat="1" ht="15.75" customHeight="1" x14ac:dyDescent="0.25"/>
    <row r="21" spans="1:14" s="2" customFormat="1" ht="15" thickBot="1" x14ac:dyDescent="0.35">
      <c r="G21"/>
      <c r="L21"/>
      <c r="M21"/>
    </row>
    <row r="22" spans="1:14" s="2" customFormat="1" x14ac:dyDescent="0.3">
      <c r="D22" s="93" t="s">
        <v>263</v>
      </c>
      <c r="E22" s="89"/>
      <c r="F22" s="89"/>
      <c r="G22" s="70"/>
      <c r="H22" s="70"/>
      <c r="I22" s="90" t="s">
        <v>262</v>
      </c>
      <c r="J22" s="90"/>
      <c r="K22" s="90"/>
      <c r="L22" s="70"/>
      <c r="M22" s="70"/>
      <c r="N22" s="91"/>
    </row>
    <row r="23" spans="1:14" s="2" customFormat="1" ht="14.4" customHeight="1" thickBot="1" x14ac:dyDescent="0.35">
      <c r="D23" s="92"/>
      <c r="E23" s="107">
        <f>F15</f>
        <v>-4224.7706422018346</v>
      </c>
      <c r="F23" s="100">
        <v>8000</v>
      </c>
      <c r="G23" s="100">
        <v>9000</v>
      </c>
      <c r="H23" s="100">
        <v>10000</v>
      </c>
      <c r="I23" s="100">
        <v>11000</v>
      </c>
      <c r="J23" s="100">
        <v>12000</v>
      </c>
      <c r="K23" s="100">
        <v>13000</v>
      </c>
      <c r="L23" s="100">
        <v>14000</v>
      </c>
      <c r="M23" s="100">
        <v>15000</v>
      </c>
      <c r="N23" s="101">
        <v>16000</v>
      </c>
    </row>
    <row r="24" spans="1:14" s="2" customFormat="1" ht="14.4" customHeight="1" x14ac:dyDescent="0.3">
      <c r="D24" s="102"/>
      <c r="E24" s="108">
        <v>50</v>
      </c>
      <c r="F24" s="104">
        <f t="dataTable" ref="F24:N34" dt2D="1" dtr="1" r1="F9" r2="F3" ca="1"/>
        <v>-3224.7706422018346</v>
      </c>
      <c r="G24" s="94">
        <v>-4224.7706422018346</v>
      </c>
      <c r="H24" s="94">
        <v>-5224.7706422018346</v>
      </c>
      <c r="I24" s="94">
        <v>-6224.7706422018346</v>
      </c>
      <c r="J24" s="94">
        <v>-7224.7706422018346</v>
      </c>
      <c r="K24" s="94">
        <v>-8224.7706422018346</v>
      </c>
      <c r="L24" s="94">
        <v>-9224.7706422018346</v>
      </c>
      <c r="M24" s="94">
        <v>-10224.770642201835</v>
      </c>
      <c r="N24" s="97">
        <v>-11224.770642201835</v>
      </c>
    </row>
    <row r="25" spans="1:14" x14ac:dyDescent="0.3">
      <c r="D25" s="102"/>
      <c r="E25" s="109">
        <v>75</v>
      </c>
      <c r="F25" s="105">
        <v>-837.15596330275184</v>
      </c>
      <c r="G25" s="94">
        <v>-1837.1559633027518</v>
      </c>
      <c r="H25" s="94">
        <v>-2837.1559633027518</v>
      </c>
      <c r="I25" s="94">
        <v>-3837.1559633027518</v>
      </c>
      <c r="J25" s="94">
        <v>-4837.1559633027518</v>
      </c>
      <c r="K25" s="94">
        <v>-5837.1559633027518</v>
      </c>
      <c r="L25" s="94">
        <v>-6837.1559633027518</v>
      </c>
      <c r="M25" s="94">
        <v>-7837.1559633027518</v>
      </c>
      <c r="N25" s="97">
        <v>-8837.1559633027518</v>
      </c>
    </row>
    <row r="26" spans="1:14" x14ac:dyDescent="0.3">
      <c r="A26" s="68" t="s">
        <v>259</v>
      </c>
      <c r="D26" s="102"/>
      <c r="E26" s="110">
        <v>100</v>
      </c>
      <c r="F26" s="105">
        <v>1550.4587155963309</v>
      </c>
      <c r="G26" s="94">
        <v>550.45871559633088</v>
      </c>
      <c r="H26" s="94">
        <v>-449.54128440366912</v>
      </c>
      <c r="I26" s="94">
        <v>-1449.5412844036691</v>
      </c>
      <c r="J26" s="94">
        <v>-2449.5412844036691</v>
      </c>
      <c r="K26" s="94">
        <v>-3449.5412844036691</v>
      </c>
      <c r="L26" s="94">
        <v>-4449.5412844036691</v>
      </c>
      <c r="M26" s="94">
        <v>-5449.5412844036691</v>
      </c>
      <c r="N26" s="97">
        <v>-6449.5412844036691</v>
      </c>
    </row>
    <row r="27" spans="1:14" x14ac:dyDescent="0.3">
      <c r="D27" s="102"/>
      <c r="E27" s="109">
        <v>125</v>
      </c>
      <c r="F27" s="105">
        <v>3938.0733944954136</v>
      </c>
      <c r="G27" s="94">
        <v>2938.0733944954136</v>
      </c>
      <c r="H27" s="94">
        <v>1938.0733944954136</v>
      </c>
      <c r="I27" s="94">
        <v>938.07339449541359</v>
      </c>
      <c r="J27" s="94">
        <v>-61.926605504586405</v>
      </c>
      <c r="K27" s="94">
        <v>-1061.9266055045864</v>
      </c>
      <c r="L27" s="94">
        <v>-2061.9266055045864</v>
      </c>
      <c r="M27" s="94">
        <v>-3061.9266055045864</v>
      </c>
      <c r="N27" s="97">
        <v>-4061.9266055045864</v>
      </c>
    </row>
    <row r="28" spans="1:14" x14ac:dyDescent="0.3">
      <c r="D28" s="102"/>
      <c r="E28" s="110">
        <v>150</v>
      </c>
      <c r="F28" s="105">
        <v>6325.6880733944963</v>
      </c>
      <c r="G28" s="94">
        <v>5325.6880733944963</v>
      </c>
      <c r="H28" s="94">
        <v>4325.6880733944963</v>
      </c>
      <c r="I28" s="94">
        <v>3325.6880733944963</v>
      </c>
      <c r="J28" s="94">
        <v>2325.6880733944963</v>
      </c>
      <c r="K28" s="94">
        <v>1325.6880733944963</v>
      </c>
      <c r="L28" s="94">
        <v>325.68807339449631</v>
      </c>
      <c r="M28" s="94">
        <v>-674.31192660550369</v>
      </c>
      <c r="N28" s="97">
        <v>-1674.3119266055037</v>
      </c>
    </row>
    <row r="29" spans="1:14" x14ac:dyDescent="0.3">
      <c r="D29" s="102"/>
      <c r="E29" s="109">
        <v>175</v>
      </c>
      <c r="F29" s="105">
        <v>8713.3027522935772</v>
      </c>
      <c r="G29" s="94">
        <v>7713.3027522935772</v>
      </c>
      <c r="H29" s="94">
        <v>6713.3027522935772</v>
      </c>
      <c r="I29" s="94">
        <v>5713.3027522935772</v>
      </c>
      <c r="J29" s="94">
        <v>4713.3027522935772</v>
      </c>
      <c r="K29" s="94">
        <v>3713.3027522935772</v>
      </c>
      <c r="L29" s="94">
        <v>2713.3027522935772</v>
      </c>
      <c r="M29" s="94">
        <v>1713.3027522935772</v>
      </c>
      <c r="N29" s="97">
        <v>713.30275229357721</v>
      </c>
    </row>
    <row r="30" spans="1:14" x14ac:dyDescent="0.3">
      <c r="D30" s="102"/>
      <c r="E30" s="110">
        <v>200</v>
      </c>
      <c r="F30" s="105">
        <v>11100.917431192662</v>
      </c>
      <c r="G30" s="94">
        <v>10100.917431192662</v>
      </c>
      <c r="H30" s="94">
        <v>9100.9174311926618</v>
      </c>
      <c r="I30" s="94">
        <v>8100.9174311926618</v>
      </c>
      <c r="J30" s="94">
        <v>7100.9174311926618</v>
      </c>
      <c r="K30" s="94">
        <v>6100.9174311926618</v>
      </c>
      <c r="L30" s="94">
        <v>5100.9174311926618</v>
      </c>
      <c r="M30" s="94">
        <v>4100.9174311926618</v>
      </c>
      <c r="N30" s="97">
        <v>3100.9174311926618</v>
      </c>
    </row>
    <row r="31" spans="1:14" x14ac:dyDescent="0.3">
      <c r="D31" s="102"/>
      <c r="E31" s="109">
        <v>225</v>
      </c>
      <c r="F31" s="105">
        <v>14613.532110091743</v>
      </c>
      <c r="G31" s="94">
        <v>13613.532110091743</v>
      </c>
      <c r="H31" s="94">
        <v>12613.532110091743</v>
      </c>
      <c r="I31" s="94">
        <v>11613.532110091743</v>
      </c>
      <c r="J31" s="94">
        <v>10613.532110091743</v>
      </c>
      <c r="K31" s="94">
        <v>9613.5321100917427</v>
      </c>
      <c r="L31" s="96">
        <v>8613.5321100917427</v>
      </c>
      <c r="M31" s="96">
        <v>7613.5321100917427</v>
      </c>
      <c r="N31" s="97">
        <v>6613.5321100917427</v>
      </c>
    </row>
    <row r="32" spans="1:14" x14ac:dyDescent="0.3">
      <c r="D32" s="102"/>
      <c r="E32" s="110">
        <v>250</v>
      </c>
      <c r="F32" s="105">
        <v>17126.146788990827</v>
      </c>
      <c r="G32" s="94">
        <v>16126.146788990827</v>
      </c>
      <c r="H32" s="94">
        <v>15126.146788990827</v>
      </c>
      <c r="I32" s="94">
        <v>14126.146788990827</v>
      </c>
      <c r="J32" s="94">
        <v>13126.146788990827</v>
      </c>
      <c r="K32" s="94">
        <v>12126.146788990827</v>
      </c>
      <c r="L32" s="94">
        <v>11126.146788990827</v>
      </c>
      <c r="M32" s="94">
        <v>10126.146788990827</v>
      </c>
      <c r="N32" s="95">
        <v>9126.1467889908272</v>
      </c>
    </row>
    <row r="33" spans="4:14" x14ac:dyDescent="0.3">
      <c r="D33" s="102"/>
      <c r="E33" s="109">
        <v>275</v>
      </c>
      <c r="F33" s="105">
        <v>19638.761467889912</v>
      </c>
      <c r="G33" s="94">
        <v>18638.761467889912</v>
      </c>
      <c r="H33" s="94">
        <v>17638.761467889912</v>
      </c>
      <c r="I33" s="94">
        <v>16638.761467889912</v>
      </c>
      <c r="J33" s="94">
        <v>15638.761467889912</v>
      </c>
      <c r="K33" s="94">
        <v>14638.761467889912</v>
      </c>
      <c r="L33" s="94">
        <v>13638.761467889912</v>
      </c>
      <c r="M33" s="94">
        <v>12638.761467889912</v>
      </c>
      <c r="N33" s="95">
        <v>11638.761467889912</v>
      </c>
    </row>
    <row r="34" spans="4:14" ht="15" thickBot="1" x14ac:dyDescent="0.35">
      <c r="D34" s="103"/>
      <c r="E34" s="111">
        <v>300</v>
      </c>
      <c r="F34" s="106">
        <v>22151.376146788993</v>
      </c>
      <c r="G34" s="98">
        <v>21151.376146788993</v>
      </c>
      <c r="H34" s="98">
        <v>20151.376146788993</v>
      </c>
      <c r="I34" s="98">
        <v>19151.376146788993</v>
      </c>
      <c r="J34" s="98">
        <v>18151.376146788993</v>
      </c>
      <c r="K34" s="98">
        <v>17151.376146788993</v>
      </c>
      <c r="L34" s="98">
        <v>16151.376146788993</v>
      </c>
      <c r="M34" s="98">
        <v>15151.376146788993</v>
      </c>
      <c r="N34" s="99">
        <v>14151.376146788993</v>
      </c>
    </row>
  </sheetData>
  <mergeCells count="2">
    <mergeCell ref="I22:K22"/>
    <mergeCell ref="D22:D3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7</vt:i4>
      </vt:variant>
      <vt:variant>
        <vt:lpstr>טווחים בעלי שם</vt:lpstr>
      </vt:variant>
      <vt:variant>
        <vt:i4>6</vt:i4>
      </vt:variant>
    </vt:vector>
  </HeadingPairs>
  <TitlesOfParts>
    <vt:vector size="13" baseType="lpstr">
      <vt:lpstr>ID</vt:lpstr>
      <vt:lpstr>Students</vt:lpstr>
      <vt:lpstr>Tickets</vt:lpstr>
      <vt:lpstr>Filter</vt:lpstr>
      <vt:lpstr>Statistics</vt:lpstr>
      <vt:lpstr>Pivot</vt:lpstr>
      <vt:lpstr>Party</vt:lpstr>
      <vt:lpstr>ID_NUM</vt:lpstr>
      <vt:lpstr>ישובים</vt:lpstr>
      <vt:lpstr>כרטיס</vt:lpstr>
      <vt:lpstr>מכללה</vt:lpstr>
      <vt:lpstr>נתוניםסטודנטי</vt:lpstr>
      <vt:lpstr>סטודנטים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</dc:creator>
  <cp:lastModifiedBy>דור המלך</cp:lastModifiedBy>
  <dcterms:created xsi:type="dcterms:W3CDTF">2022-06-05T12:33:07Z</dcterms:created>
  <dcterms:modified xsi:type="dcterms:W3CDTF">2022-06-13T14:20:38Z</dcterms:modified>
</cp:coreProperties>
</file>